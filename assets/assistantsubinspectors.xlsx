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  <externalReference r:id="rId3"/>
    <externalReference r:id="rId4"/>
  </externalReferences>
  <calcPr calcId="152511" calcMode="manual"/>
</workbook>
</file>

<file path=xl/calcChain.xml><?xml version="1.0" encoding="utf-8"?>
<calcChain xmlns="http://schemas.openxmlformats.org/spreadsheetml/2006/main">
  <c r="V54" i="1" l="1"/>
  <c r="AK47" i="1"/>
  <c r="AM26" i="1"/>
  <c r="AM17" i="1"/>
  <c r="AK7" i="1"/>
</calcChain>
</file>

<file path=xl/sharedStrings.xml><?xml version="1.0" encoding="utf-8"?>
<sst xmlns="http://schemas.openxmlformats.org/spreadsheetml/2006/main" count="3780" uniqueCount="1359">
  <si>
    <t>POLICE DEPARTMENT</t>
  </si>
  <si>
    <t>DISTRICT KHANEWAL</t>
  </si>
  <si>
    <t xml:space="preserve"> </t>
  </si>
  <si>
    <t>LISTS OF ASSISTANT SUB INSPECTORS</t>
  </si>
  <si>
    <t>Sr. 
No.</t>
  </si>
  <si>
    <t>Rank</t>
  </si>
  <si>
    <t>Name &amp; No.</t>
  </si>
  <si>
    <t>No.</t>
  </si>
  <si>
    <t>Father Name</t>
  </si>
  <si>
    <t>Date of 
birth</t>
  </si>
  <si>
    <t>Date of 
Recruitment</t>
  </si>
  <si>
    <t>Edu</t>
  </si>
  <si>
    <t>Home District</t>
  </si>
  <si>
    <t>Home Tehsil</t>
  </si>
  <si>
    <t>Home Police Station</t>
  </si>
  <si>
    <t>Arrivel from 
Dist/Unit.</t>
  </si>
  <si>
    <t xml:space="preserve">Date of posting in this district </t>
  </si>
  <si>
    <t>Previous 
Posting</t>
  </si>
  <si>
    <t>Current Posting
Unit</t>
  </si>
  <si>
    <t>Current Posting/</t>
  </si>
  <si>
    <t xml:space="preserve"> Posted As</t>
  </si>
  <si>
    <t>Date of 
Posting</t>
  </si>
  <si>
    <t>Mobile No.</t>
  </si>
  <si>
    <t>Temporary Address</t>
  </si>
  <si>
    <t>Permanent Address</t>
  </si>
  <si>
    <t>Reserve Status</t>
  </si>
  <si>
    <t>Gard Status</t>
  </si>
  <si>
    <t>District/Unit of
Recruitment</t>
  </si>
  <si>
    <t>Joining Rank</t>
  </si>
  <si>
    <t>CNIC Number</t>
  </si>
  <si>
    <t>Blood 
Group</t>
  </si>
  <si>
    <t>Cast</t>
  </si>
  <si>
    <t>Computer 
Number</t>
  </si>
  <si>
    <t>Ex-Army/Ex-Elite</t>
  </si>
  <si>
    <t>QRF Course Pass/Fail</t>
  </si>
  <si>
    <t>Other No.</t>
  </si>
  <si>
    <t>489-F</t>
  </si>
  <si>
    <t>Case Law Judgement</t>
  </si>
  <si>
    <t>Electricity Theft</t>
  </si>
  <si>
    <t>MLC Autopsy</t>
  </si>
  <si>
    <t>Homicide Inv</t>
  </si>
  <si>
    <t>category</t>
  </si>
  <si>
    <t>ASI</t>
  </si>
  <si>
    <t>Manzoor Ahamad</t>
  </si>
  <si>
    <t>BA</t>
  </si>
  <si>
    <t>Khanewal</t>
  </si>
  <si>
    <t>Jahanian</t>
  </si>
  <si>
    <t>PHP</t>
  </si>
  <si>
    <t>Police Line</t>
  </si>
  <si>
    <t>PS</t>
  </si>
  <si>
    <t>PS Sarai Sidhu</t>
  </si>
  <si>
    <t>Inv Staff</t>
  </si>
  <si>
    <t>0300-4185107</t>
  </si>
  <si>
    <t xml:space="preserve">Chak no.158A/10-R PO Jhangle Maryala Tehsil Jehanian </t>
  </si>
  <si>
    <t>khanewal</t>
  </si>
  <si>
    <t>--</t>
  </si>
  <si>
    <t>36101-0260107-7</t>
  </si>
  <si>
    <t>O+ve</t>
  </si>
  <si>
    <t>SAHU</t>
  </si>
  <si>
    <t>Shahbaz Iqbal, 5</t>
  </si>
  <si>
    <t>Faqeer Hussain</t>
  </si>
  <si>
    <t>F.Sc</t>
  </si>
  <si>
    <t>Tehsil Mian channu</t>
  </si>
  <si>
    <t>Sadar Chichawatni</t>
  </si>
  <si>
    <t xml:space="preserve">PQR Brach </t>
  </si>
  <si>
    <t>PS Kacha Khuh</t>
  </si>
  <si>
    <t>SDPO Office</t>
  </si>
  <si>
    <t>SDPO Office Mian Channu</t>
  </si>
  <si>
    <t>Reader</t>
  </si>
  <si>
    <t>0306-2301245</t>
  </si>
  <si>
    <t>Chak No.43/15-L Tehsil Mian Channu</t>
  </si>
  <si>
    <t>NIL</t>
  </si>
  <si>
    <t>Constable</t>
  </si>
  <si>
    <t>36104-9788917-7</t>
  </si>
  <si>
    <t>GUJJAR</t>
  </si>
  <si>
    <t>1201, 69/PQR</t>
  </si>
  <si>
    <t>Manzoor Ahmad</t>
  </si>
  <si>
    <t>Matric</t>
  </si>
  <si>
    <t>Sahiwal</t>
  </si>
  <si>
    <t>Ghaziabad</t>
  </si>
  <si>
    <t>Reinstated in Service</t>
  </si>
  <si>
    <t>PS Abdul Hakim</t>
  </si>
  <si>
    <t>0301-7562141</t>
  </si>
  <si>
    <t xml:space="preserve">Chak No 47/12-L Checha Watni </t>
  </si>
  <si>
    <t>36302-5461103-3</t>
  </si>
  <si>
    <t>B+ve</t>
  </si>
  <si>
    <t>JUTT</t>
  </si>
  <si>
    <t>Muhammad Ishaq</t>
  </si>
  <si>
    <t>D.COM</t>
  </si>
  <si>
    <t>Sadar Khanewal</t>
  </si>
  <si>
    <t>RPO Office Multan</t>
  </si>
  <si>
    <t>PS Sadar Kabirwala</t>
  </si>
  <si>
    <t>0300-6887717</t>
  </si>
  <si>
    <t>Chak No. 83-85/10-R Tehsil &amp; Distt Khanewal</t>
  </si>
  <si>
    <t>pC</t>
  </si>
  <si>
    <t>36103-1635575-7</t>
  </si>
  <si>
    <t xml:space="preserve"> B+ve</t>
  </si>
  <si>
    <t>KAMBOH</t>
  </si>
  <si>
    <t>Ahmad Bakhsh</t>
  </si>
  <si>
    <t>B.Com</t>
  </si>
  <si>
    <t>Khanewal Kohna</t>
  </si>
  <si>
    <t>G. Duty</t>
  </si>
  <si>
    <t>0300-6899577</t>
  </si>
  <si>
    <t>Chak No.19-V, Kohna Khanewal Tehsil Khanewal</t>
  </si>
  <si>
    <t>36103-1585797-7</t>
  </si>
  <si>
    <t>B-ve</t>
  </si>
  <si>
    <t>Dehar</t>
  </si>
  <si>
    <t>Soby Khan</t>
  </si>
  <si>
    <t>Kabirwala</t>
  </si>
  <si>
    <t>City Kabirwala</t>
  </si>
  <si>
    <t>Special branch</t>
  </si>
  <si>
    <t>PS Chab kalan</t>
  </si>
  <si>
    <t>0300-2959292</t>
  </si>
  <si>
    <t>Chah Qadir Bukhsh Wala Moza Khan Wala, Tehsil Kabirwala</t>
  </si>
  <si>
    <t>36102-9763283-3</t>
  </si>
  <si>
    <t>A+ve</t>
  </si>
  <si>
    <t>THAHEEM</t>
  </si>
  <si>
    <t>1149, 11425, 4029.</t>
  </si>
  <si>
    <t>Muhammad Ismail</t>
  </si>
  <si>
    <t>Mian Channu</t>
  </si>
  <si>
    <t>Tulamba</t>
  </si>
  <si>
    <t>EPF</t>
  </si>
  <si>
    <t>Elite Force</t>
  </si>
  <si>
    <t xml:space="preserve">Elite Force </t>
  </si>
  <si>
    <t>0300-6323902</t>
  </si>
  <si>
    <t>Chack No 7/8 AR  P/O Khas Tehsil Mian Channu</t>
  </si>
  <si>
    <t>36104-4325741-3</t>
  </si>
  <si>
    <t>ARAIN</t>
  </si>
  <si>
    <t>Haq Nawaz</t>
  </si>
  <si>
    <t>FA</t>
  </si>
  <si>
    <t>Promoted as ASI</t>
  </si>
  <si>
    <t>PS Saddar Mian Channu</t>
  </si>
  <si>
    <t>0303-7860858</t>
  </si>
  <si>
    <t>Chak No.73/10R PS Sadar Khanewal</t>
  </si>
  <si>
    <t>36103-9355885-3</t>
  </si>
  <si>
    <t>MIRALI</t>
  </si>
  <si>
    <t>B</t>
  </si>
  <si>
    <t>Elahi Bukhash</t>
  </si>
  <si>
    <t>Adda Bara Meel</t>
  </si>
  <si>
    <t>PS City Khanewal</t>
  </si>
  <si>
    <t>0300-6888500</t>
  </si>
  <si>
    <t>Pull 12 Meel Rukan Wala P/O judhpur Tehsil Kabirwala Dist Khanewal</t>
  </si>
  <si>
    <t>36102-0712901-7</t>
  </si>
  <si>
    <t>BALOCH</t>
  </si>
  <si>
    <t>Wahg</t>
  </si>
  <si>
    <t>TT Singh</t>
  </si>
  <si>
    <t>kamaliya</t>
  </si>
  <si>
    <t>Aroti</t>
  </si>
  <si>
    <t>PS Makhdoom pur</t>
  </si>
  <si>
    <t>0300-8793367</t>
  </si>
  <si>
    <t>police line khanewal</t>
  </si>
  <si>
    <t>chak no. 771 tehsil peer mahal</t>
  </si>
  <si>
    <t>33302-3844987-3</t>
  </si>
  <si>
    <t>SANPAL</t>
  </si>
  <si>
    <t>367/kwl</t>
  </si>
  <si>
    <t>Muhammad Yasin</t>
  </si>
  <si>
    <t>MA</t>
  </si>
  <si>
    <t>SDPO Office Khanewal</t>
  </si>
  <si>
    <t>CCD</t>
  </si>
  <si>
    <t>Crime Control Department</t>
  </si>
  <si>
    <t>ASI CCD</t>
  </si>
  <si>
    <t>0300-7393303</t>
  </si>
  <si>
    <t>Chonghi No 3 Kabirwala</t>
  </si>
  <si>
    <t>36102-8295652-1</t>
  </si>
  <si>
    <t>RAJPUT</t>
  </si>
  <si>
    <t>QRF</t>
  </si>
  <si>
    <t>Muhammad siddique</t>
  </si>
  <si>
    <t>Abdul Hakim</t>
  </si>
  <si>
    <t>District Lodhran</t>
  </si>
  <si>
    <t>PS Jahanian</t>
  </si>
  <si>
    <t>0300-7896291</t>
  </si>
  <si>
    <t>Chak No.8/D, Tehsil Kabirwala, District Khanewal</t>
  </si>
  <si>
    <t>CONSTABLE</t>
  </si>
  <si>
    <t>36102-5494826-3</t>
  </si>
  <si>
    <t>Zaheer Abbas, 94</t>
  </si>
  <si>
    <t xml:space="preserve">Muhammad Rafiq </t>
  </si>
  <si>
    <t>Chab Kalan</t>
  </si>
  <si>
    <t>PS Sadar Khanewal</t>
  </si>
  <si>
    <t>PS City Kabirwala</t>
  </si>
  <si>
    <t>0300-2791530</t>
  </si>
  <si>
    <t>chak no. 62/15-L chab kalan</t>
  </si>
  <si>
    <t>36104-1010223-9</t>
  </si>
  <si>
    <t>LURKA</t>
  </si>
  <si>
    <t>8085/PC, 1471/kwl</t>
  </si>
  <si>
    <t>Moharrir</t>
  </si>
  <si>
    <t>Falak Sher, 96</t>
  </si>
  <si>
    <t xml:space="preserve">Nazeer Ahmad </t>
  </si>
  <si>
    <t>Elite Force (RMC Oprator)</t>
  </si>
  <si>
    <t>0344-4873755</t>
  </si>
  <si>
    <t>Bast Chan Shah house No. 67, Khanewal</t>
  </si>
  <si>
    <t>36103-5415464-7</t>
  </si>
  <si>
    <t>WAHLA</t>
  </si>
  <si>
    <t>Muhammad Nadeem, 109</t>
  </si>
  <si>
    <t>Muhammad Shareef</t>
  </si>
  <si>
    <t>M.A</t>
  </si>
  <si>
    <t>Kassowal</t>
  </si>
  <si>
    <t>PC Farooqabad</t>
  </si>
  <si>
    <t>PS Adda 12 Meel</t>
  </si>
  <si>
    <t>0306-0178403</t>
  </si>
  <si>
    <t>House No.134/2, Street No.4, Aebak Road, Mian Channu</t>
  </si>
  <si>
    <t>36104-5478435-5</t>
  </si>
  <si>
    <t>AB+ve</t>
  </si>
  <si>
    <t>Rajput</t>
  </si>
  <si>
    <t>79/HC. PC</t>
  </si>
  <si>
    <t>Khizar Hayat, 131</t>
  </si>
  <si>
    <t>Muhammad Zafar Khan</t>
  </si>
  <si>
    <t>Sarai Sidhu</t>
  </si>
  <si>
    <t>0305-6969679</t>
  </si>
  <si>
    <t>Chah Koray Wala Moza Hashmat Merali P/O Khas Tehsil Kabirwala</t>
  </si>
  <si>
    <t>36102-8971570-3</t>
  </si>
  <si>
    <t>Abbas Ali, 134</t>
  </si>
  <si>
    <t>Muhammad Abdullah</t>
  </si>
  <si>
    <t>Jhang</t>
  </si>
  <si>
    <t>District Multan</t>
  </si>
  <si>
    <t>PS Haveli Koranga</t>
  </si>
  <si>
    <t>0333-6767242</t>
  </si>
  <si>
    <t>Mohallah Saman Abad, Jhang</t>
  </si>
  <si>
    <t>33202-1412211-3</t>
  </si>
  <si>
    <t>L-ASI</t>
  </si>
  <si>
    <t>Muhammad Yasin khan</t>
  </si>
  <si>
    <t>Kacha Khuh</t>
  </si>
  <si>
    <t>DPO office</t>
  </si>
  <si>
    <t>Feed Back Branch</t>
  </si>
  <si>
    <t>Incharge</t>
  </si>
  <si>
    <t>0345-7397326</t>
  </si>
  <si>
    <t>Chack No 26-10R P/O Katcha khuh Teh.Khanewal</t>
  </si>
  <si>
    <t>LHC</t>
  </si>
  <si>
    <t>36103-1541878-2</t>
  </si>
  <si>
    <t>PATHAN</t>
  </si>
  <si>
    <t>28.01.2023</t>
  </si>
  <si>
    <t>Manzoor Hussain</t>
  </si>
  <si>
    <t>Adda Baara Meel</t>
  </si>
  <si>
    <t>PS Sadar Mian Channu</t>
  </si>
  <si>
    <t>0302-7722346</t>
  </si>
  <si>
    <t>Chah Hashim Wala Moza Bahadur wala tehsil Kabirwala Khanewal</t>
  </si>
  <si>
    <t>36102-3668720-1</t>
  </si>
  <si>
    <t>Sargana</t>
  </si>
  <si>
    <t xml:space="preserve">4062/PC, 565/Kwl </t>
  </si>
  <si>
    <t>Muhammad Ashraf</t>
  </si>
  <si>
    <t>Chichawatni</t>
  </si>
  <si>
    <t>Shah Kot</t>
  </si>
  <si>
    <t>PC-3 Multan</t>
  </si>
  <si>
    <t>PS City Mian Channu</t>
  </si>
  <si>
    <t>0300-6885298</t>
  </si>
  <si>
    <t>Chack No 77/12L Teh. Cheecha watni Sahiwal</t>
  </si>
  <si>
    <t>36501-1840727-1</t>
  </si>
  <si>
    <t xml:space="preserve"> 489-F </t>
  </si>
  <si>
    <t>Muhammad Saleem, 173</t>
  </si>
  <si>
    <t>Muhammad Ramzan</t>
  </si>
  <si>
    <t>Gaziabad</t>
  </si>
  <si>
    <t>PS Tulamba</t>
  </si>
  <si>
    <t>RMP Multan</t>
  </si>
  <si>
    <t>0345-7462543</t>
  </si>
  <si>
    <t>CHAK NO. 174/9-L CHICHA WATNI DISTRICT, District Sahiwal</t>
  </si>
  <si>
    <t>36501-8831667-9</t>
  </si>
  <si>
    <t>Siyal</t>
  </si>
  <si>
    <t>Hassan Raza, 184</t>
  </si>
  <si>
    <t>Allah Yar</t>
  </si>
  <si>
    <t>Sadar Mianchannu</t>
  </si>
  <si>
    <t>0300-7316193</t>
  </si>
  <si>
    <t>Chak No 49/15-L  p/o chak no-50/15-L Tehsil Mian Channu</t>
  </si>
  <si>
    <t>NiL</t>
  </si>
  <si>
    <t>36104-2678268-5</t>
  </si>
  <si>
    <t>BHATTI</t>
  </si>
  <si>
    <t>340/HC,  1054/C</t>
  </si>
  <si>
    <t>Transffered from this district to Counter Terrorism Department Lahore, Vider Order No.SE-III/17087/II.(711-18-CTD), dated 03.09.2018, Issued by  DIG Establishment-II, Lahore</t>
  </si>
  <si>
    <t>Qaim Din</t>
  </si>
  <si>
    <t>City Khanewal</t>
  </si>
  <si>
    <t>Escort DPO Khanewal</t>
  </si>
  <si>
    <t>0300-6882445</t>
  </si>
  <si>
    <t>Chack No 88/10-R Teh. Khanewal</t>
  </si>
  <si>
    <t>Chack No 88/10-R Teh. Kabirwala</t>
  </si>
  <si>
    <t>36103-1644060-5</t>
  </si>
  <si>
    <t>REHMANI</t>
  </si>
  <si>
    <t>Ex-Elite</t>
  </si>
  <si>
    <t xml:space="preserve">Muhammad Ameer </t>
  </si>
  <si>
    <t>Haveli Koranga</t>
  </si>
  <si>
    <t>Traffic Punjab Lahore</t>
  </si>
  <si>
    <t>0306-7050669</t>
  </si>
  <si>
    <t>Mauza Kund Malkani kabirwala Distt khanewal</t>
  </si>
  <si>
    <t>36102-4668297-9</t>
  </si>
  <si>
    <t>CHOHAN</t>
  </si>
  <si>
    <t>Peer Nubahar Shah</t>
  </si>
  <si>
    <t>Recruited as ASI</t>
  </si>
  <si>
    <t>Focal Person</t>
  </si>
  <si>
    <t>Focal Person High Court Multan</t>
  </si>
  <si>
    <t>0307-6308023</t>
  </si>
  <si>
    <t>Railwy Colony Khanewal</t>
  </si>
  <si>
    <t>Moaza kram Shah Saray sidhu</t>
  </si>
  <si>
    <t>36102-3935936-5</t>
  </si>
  <si>
    <t>QURESHI</t>
  </si>
  <si>
    <t>Muhammad Tufail</t>
  </si>
  <si>
    <t>0301-7829197</t>
  </si>
  <si>
    <t>Chak No 168/10R p/o khas Teh khanewal</t>
  </si>
  <si>
    <t>36103-1059301-9</t>
  </si>
  <si>
    <t>Haji M. Nawaz</t>
  </si>
  <si>
    <t>PS Thattha Sadiq Abad</t>
  </si>
  <si>
    <t>0306-7410886</t>
  </si>
  <si>
    <t>Masoom Shah Road, Ismail Colony, New Multan</t>
  </si>
  <si>
    <t>Mouza Roshan pur, Abdul Hakim, Tehsil Kabirwala</t>
  </si>
  <si>
    <t>Multan</t>
  </si>
  <si>
    <t>36302-8168963-1</t>
  </si>
  <si>
    <t>Jutt Khokhar</t>
  </si>
  <si>
    <t>Rashid Usman, 250</t>
  </si>
  <si>
    <t xml:space="preserve">Muhammad Usman </t>
  </si>
  <si>
    <t>City Mianchannu</t>
  </si>
  <si>
    <t>0308-6259713
0344-8333135</t>
  </si>
  <si>
    <t xml:space="preserve"> Street no 07  mhalla Sultan Colony No. 01 Tehsil Mianchannu</t>
  </si>
  <si>
    <t>36104-5284492-7</t>
  </si>
  <si>
    <t>Khadim Hussain, 266</t>
  </si>
  <si>
    <t>Hadayat Ali</t>
  </si>
  <si>
    <t>Makhdoom Rasheed</t>
  </si>
  <si>
    <t>EPF Multan</t>
  </si>
  <si>
    <t>20-12-201</t>
  </si>
  <si>
    <t>0301-7531660</t>
  </si>
  <si>
    <t>Basti Dera Adda, Makhdoom Rasheed, Multan</t>
  </si>
  <si>
    <t>36303-4735659-5</t>
  </si>
  <si>
    <t>KAHLOO</t>
  </si>
  <si>
    <t>Makhdum Pur Pahoran</t>
  </si>
  <si>
    <t>0300-9485665</t>
  </si>
  <si>
    <t>Chak No.14/9-R p.o khas tehsil &amp; distt khanewal</t>
  </si>
  <si>
    <t>Continue</t>
  </si>
  <si>
    <t>36103-1628772-1</t>
  </si>
  <si>
    <t>Sahu</t>
  </si>
  <si>
    <t>4001/PC, 88/Kwl</t>
  </si>
  <si>
    <t>Ghulam Hussain, 288</t>
  </si>
  <si>
    <t>Allah Bakhsh</t>
  </si>
  <si>
    <t>PS Saddar Kabirwala</t>
  </si>
  <si>
    <t>0305-5864934</t>
  </si>
  <si>
    <t>Near Pul Tara pur Mohallah Bara Dari Tulamba, Mian Channu</t>
  </si>
  <si>
    <t>36104-6809447-5</t>
  </si>
  <si>
    <t>Ashiq Hussain</t>
  </si>
  <si>
    <t>Sadar Kabirwala</t>
  </si>
  <si>
    <t>PS Thatha Sadiqabad</t>
  </si>
  <si>
    <t>0302-6998117</t>
  </si>
  <si>
    <t>Chah Chuchkana, Mouza Sham Kot, Tehsil Kabirwala</t>
  </si>
  <si>
    <t>36102-6447573-5</t>
  </si>
  <si>
    <t>Muhammad Riaz</t>
  </si>
  <si>
    <t>Nawan Shehar</t>
  </si>
  <si>
    <t>Maddat Police Line</t>
  </si>
  <si>
    <t>PS Khanewal Kohna</t>
  </si>
  <si>
    <t>0302-3760537</t>
  </si>
  <si>
    <t>Chah away wala Mouza Gagher Post Office Kukkar Hatta Tehsil Kabirwala</t>
  </si>
  <si>
    <t>36102-7912321-5</t>
  </si>
  <si>
    <t>MUTT</t>
  </si>
  <si>
    <t xml:space="preserve">Mahar Baqir </t>
  </si>
  <si>
    <t>Under 
Matric</t>
  </si>
  <si>
    <t>Close due to iLLness</t>
  </si>
  <si>
    <t>0346-7264072</t>
  </si>
  <si>
    <t>Chak No 2/AH Makhdom pur</t>
  </si>
  <si>
    <t>36103-0982714-1</t>
  </si>
  <si>
    <t>Abid Hussain, 323</t>
  </si>
  <si>
    <t>Yar Muhammad</t>
  </si>
  <si>
    <t>0301-7514797</t>
  </si>
  <si>
    <t>Basti Aima Moza Mian Pur P.O 148/10-R Tehsil Jahanian Ps Jahanian Distt Khanewal</t>
  </si>
  <si>
    <t>36101-6590756-5</t>
  </si>
  <si>
    <t>Maitla</t>
  </si>
  <si>
    <t>266/C-Kwl, 323/C &amp; HC, 4027/HC-PC</t>
  </si>
  <si>
    <t>Muhammad Ajmal, 328</t>
  </si>
  <si>
    <t>Ghulam Hussain</t>
  </si>
  <si>
    <t>0300-6880144</t>
  </si>
  <si>
    <t>Adda pull bara mail rukan wala p/o jhohad pur tahsil kabirwala</t>
  </si>
  <si>
    <t>36102-8859788-7</t>
  </si>
  <si>
    <t>Rab nawaz</t>
  </si>
  <si>
    <t>0333-6230748</t>
  </si>
  <si>
    <t xml:space="preserve">Moaza alla abad p/o khas thsil kabirwala </t>
  </si>
  <si>
    <t>36102-0778790-9</t>
  </si>
  <si>
    <t>MUHAANA</t>
  </si>
  <si>
    <t>Waqas Saeed, 339</t>
  </si>
  <si>
    <t>Muhammad Saeed Akhter</t>
  </si>
  <si>
    <t>0300-0811844</t>
  </si>
  <si>
    <t>Naru House Allah hoo colony Near Police line Khanewal</t>
  </si>
  <si>
    <t xml:space="preserve">Ali nawaz Town Street no.04 House no.140 Tehsil chicha watni District Sahiwal </t>
  </si>
  <si>
    <t>36103-6216197-5</t>
  </si>
  <si>
    <t>Ahmad Yar</t>
  </si>
  <si>
    <t>Saddar Mian Channu</t>
  </si>
  <si>
    <t>PHP Multan</t>
  </si>
  <si>
    <t>CIA Staff Khanewal</t>
  </si>
  <si>
    <t>0300-7890719</t>
  </si>
  <si>
    <t>Chak No.119/15-L PS Saddar Mian Channu district Khanewal</t>
  </si>
  <si>
    <t>36104-4292168-5</t>
  </si>
  <si>
    <t>Ahmad Nawaz, 347</t>
  </si>
  <si>
    <t>Manzor Hussain</t>
  </si>
  <si>
    <t>0300-2444679</t>
  </si>
  <si>
    <t xml:space="preserve">CHAH HARAJ WALA P/O KHAS THSIL KABIRWALA </t>
  </si>
  <si>
    <t>36102-7349820-3</t>
  </si>
  <si>
    <t>Moharir</t>
  </si>
  <si>
    <t>Syad Maqbool Hussain Naqvi</t>
  </si>
  <si>
    <t>Haveli Kornga</t>
  </si>
  <si>
    <t>PS Nawan Shehr</t>
  </si>
  <si>
    <t>0303-4167884</t>
  </si>
  <si>
    <t xml:space="preserve"> Sandila wala P/O Khas Tehsil Kabirwala Dist Khanewal</t>
  </si>
  <si>
    <t>36102-1906964-9</t>
  </si>
  <si>
    <t>SYED</t>
  </si>
  <si>
    <t>Mubarak Ali</t>
  </si>
  <si>
    <t xml:space="preserve"> 05-09-1993</t>
  </si>
  <si>
    <t xml:space="preserve"> F.A</t>
  </si>
  <si>
    <t>CTD Khanewal</t>
  </si>
  <si>
    <t>0303-5970144</t>
  </si>
  <si>
    <t>Street No.02 Kot Haq Nawaz Kabir Wala Road, Tehsil &amp;Khanewal</t>
  </si>
  <si>
    <t>36103-1666779-3</t>
  </si>
  <si>
    <t>353/CTD</t>
  </si>
  <si>
    <t>Muhammad Sarwar</t>
  </si>
  <si>
    <t>Sadar Multan</t>
  </si>
  <si>
    <t>Alpa</t>
  </si>
  <si>
    <t>PS Sarai sidhu</t>
  </si>
  <si>
    <t>0334-7500870</t>
  </si>
  <si>
    <t>Matti tal P/O Jalwala Tehsil Multan sadar Distt, Multan</t>
  </si>
  <si>
    <t>36303-1009611-3</t>
  </si>
  <si>
    <t>Mehar Khan</t>
  </si>
  <si>
    <t>Kaccha Khuh</t>
  </si>
  <si>
    <t>0342-7070427</t>
  </si>
  <si>
    <t>Chak No 27/10-R Teh Khanewal</t>
  </si>
  <si>
    <t>36103-4765527-5</t>
  </si>
  <si>
    <t>RAJA</t>
  </si>
  <si>
    <t>Khan Muhammad</t>
  </si>
  <si>
    <t>0301-7474887</t>
  </si>
  <si>
    <t>Chak no 109/15-L Mian Channu</t>
  </si>
  <si>
    <t>36104-8062742-1</t>
  </si>
  <si>
    <t>O-ve</t>
  </si>
  <si>
    <t>355/HC</t>
  </si>
  <si>
    <t>Abdul Manan</t>
  </si>
  <si>
    <t>0300-6890743</t>
  </si>
  <si>
    <t>Chack No.10/AH P/O Chak No.12/AH Tehsil &amp; Distt khanewal</t>
  </si>
  <si>
    <t>36103-6747281-5</t>
  </si>
  <si>
    <t>Transferred from this distric to PHP HQrs, Punjab Lahore vide order No.3965-73/AD/E-II/VII, dqated 14.06.2023 issued by IGP Punjab Lahore</t>
  </si>
  <si>
    <t>Murtaza Hussain, 417</t>
  </si>
  <si>
    <t xml:space="preserve">Ghulam Hussain </t>
  </si>
  <si>
    <t>D.Com</t>
  </si>
  <si>
    <t>0333-7652605</t>
  </si>
  <si>
    <t>Chak No-115/10-R P/O Khas Tehsil Jahanian Distt Khanewal</t>
  </si>
  <si>
    <t>36101-6491948-5</t>
  </si>
  <si>
    <t>MAITLA</t>
  </si>
  <si>
    <t>Muhammad Saddique</t>
  </si>
  <si>
    <t>Judicial Police Line</t>
  </si>
  <si>
    <t>0333-6216282</t>
  </si>
  <si>
    <t>Chak No.168/10-R Tehsil &amp; District Khanewal.</t>
  </si>
  <si>
    <t>36103-4784097-1</t>
  </si>
  <si>
    <t>Khokhar</t>
  </si>
  <si>
    <t>Muhammad Imran, 428</t>
  </si>
  <si>
    <t>Qamis ul din</t>
  </si>
  <si>
    <t>Makhdom pur</t>
  </si>
  <si>
    <t>0300-8390631</t>
  </si>
  <si>
    <t xml:space="preserve"> STREET NO.10 Muhallah Haji Imam Din Makhdum Pur P/O KHAS TEHSIL KHANEWAL</t>
  </si>
  <si>
    <t>36103-1623077-9</t>
  </si>
  <si>
    <t>ANSARI</t>
  </si>
  <si>
    <t xml:space="preserve">4122/PC, 341/kwl </t>
  </si>
  <si>
    <t>PS kohna Khanewal</t>
  </si>
  <si>
    <t>Muhammad Akram Tahir, 431</t>
  </si>
  <si>
    <t>Allah Ditta</t>
  </si>
  <si>
    <t>Sadar MianChannu</t>
  </si>
  <si>
    <t>0300-7316825</t>
  </si>
  <si>
    <t>Chak No 46/15-L Tehsil Mian Channu</t>
  </si>
  <si>
    <t>36104-2727226-5</t>
  </si>
  <si>
    <t>Naimat Ali</t>
  </si>
  <si>
    <t>Investigaiton Branch</t>
  </si>
  <si>
    <t>0301-7796450</t>
  </si>
  <si>
    <t>Goband Garh, Abdul Hakim, Tehsil Kabirwala</t>
  </si>
  <si>
    <t>Layyah</t>
  </si>
  <si>
    <t>36102-1886177-1</t>
  </si>
  <si>
    <t>B+VE</t>
  </si>
  <si>
    <t>Muhammad Anwar</t>
  </si>
  <si>
    <t>MA/LLB</t>
  </si>
  <si>
    <t>Narowal</t>
  </si>
  <si>
    <t>City Shakargarh</t>
  </si>
  <si>
    <t>0300-4302046</t>
  </si>
  <si>
    <t>Barbagi P/O Qatal Pur Tehsil Kabirwala Distt Khanewal</t>
  </si>
  <si>
    <t>Goblian P/O Dodhu Chak Tehsil Shakar Garh Distt Narowal</t>
  </si>
  <si>
    <t>36102-1907098-1</t>
  </si>
  <si>
    <t>Syed Mureed Abbas Shah</t>
  </si>
  <si>
    <t>0301-7995427</t>
  </si>
  <si>
    <t>Chak No. 39/10-R P/O Khas Tehsil &amp; Dist Khanewal</t>
  </si>
  <si>
    <t>36103-5916138-5</t>
  </si>
  <si>
    <t>Hashmat Ali</t>
  </si>
  <si>
    <t>0301-7823859</t>
  </si>
  <si>
    <t>Kot Mol Chand 8 Kassi Tehsil Kabirwala Khanewal</t>
  </si>
  <si>
    <t>36102-1942125-9</t>
  </si>
  <si>
    <t>Rajpoot</t>
  </si>
  <si>
    <t>4043/PC, 462/Kwl</t>
  </si>
  <si>
    <t>Muhammad Uddin</t>
  </si>
  <si>
    <t>Thatha Sadiqabad</t>
  </si>
  <si>
    <t>Malkhana</t>
  </si>
  <si>
    <t>Malkhana Jahanian</t>
  </si>
  <si>
    <r>
      <t xml:space="preserve">Incharge
</t>
    </r>
    <r>
      <rPr>
        <b/>
        <sz val="12"/>
        <color theme="1"/>
        <rFont val="Calibri"/>
        <family val="2"/>
        <scheme val="minor"/>
      </rPr>
      <t>(Light Duty)</t>
    </r>
  </si>
  <si>
    <t>0302-7488933</t>
  </si>
  <si>
    <t>Chak No.138/10-R P.O Khas Tehsil Jahanian Distt Khanewal</t>
  </si>
  <si>
    <t>PC Farooq Abad</t>
  </si>
  <si>
    <t>36101-3013106-3</t>
  </si>
  <si>
    <t>Muhammad Nazeer</t>
  </si>
  <si>
    <t>0300-7893597</t>
  </si>
  <si>
    <t>Chack No 19/9R Gharbi P/O  Kacha Khu Tehsil &amp; Distt. khanewal</t>
  </si>
  <si>
    <t>36103-6275822-7</t>
  </si>
  <si>
    <t>Ahmad Bashir Khan</t>
  </si>
  <si>
    <t>Guard</t>
  </si>
  <si>
    <t>Guard Civil Court Khanewal</t>
  </si>
  <si>
    <t>0300-6889400</t>
  </si>
  <si>
    <t>Chak no. 94/10-R PO Chak no. 93/10-R Tehsil &amp; Distt Khanewal</t>
  </si>
  <si>
    <t>36103-1667347-9</t>
  </si>
  <si>
    <t>SIYAL</t>
  </si>
  <si>
    <t>Ahmad Faheem Kamran, 506</t>
  </si>
  <si>
    <t>Allah Bakhsh Zaki</t>
  </si>
  <si>
    <t>PC-5 Lahore</t>
  </si>
  <si>
    <t>0302-7818303</t>
  </si>
  <si>
    <t>Chak No.133/16-L PS Saddar Mian Channu distt Khanewal</t>
  </si>
  <si>
    <t>36104-9716771-1</t>
  </si>
  <si>
    <t>AB-ve</t>
  </si>
  <si>
    <t>100/PC, 427/Kwl</t>
  </si>
  <si>
    <t>Muhammad Adnan, 510</t>
  </si>
  <si>
    <t>Rana Muhammad Ramzan</t>
  </si>
  <si>
    <t>SDPO Office Sadar Circle Khanewal</t>
  </si>
  <si>
    <t>0345-7397391</t>
  </si>
  <si>
    <t>Near Thana City, Qutarz, House No. 172 Muhallah Cival Line Khanewal</t>
  </si>
  <si>
    <t>36103-6594435-1</t>
  </si>
  <si>
    <t>Ali Zulqurnain, 532</t>
  </si>
  <si>
    <t xml:space="preserve">Muhammad Asghar </t>
  </si>
  <si>
    <t>0342-2051910</t>
  </si>
  <si>
    <t>Same</t>
  </si>
  <si>
    <t xml:space="preserve">Chak No 15/v Teh Kabirwala </t>
  </si>
  <si>
    <t>36103-8786674-1</t>
  </si>
  <si>
    <t>Bashir Ahmad</t>
  </si>
  <si>
    <t>Mochiwala</t>
  </si>
  <si>
    <t>0300-8399297</t>
  </si>
  <si>
    <t>Chack No 215 g-B P/O chak no 214-g-B Thsil Jhang</t>
  </si>
  <si>
    <t>33202-6811134-1</t>
  </si>
  <si>
    <t>583, 10129, 6147</t>
  </si>
  <si>
    <t>Wakeel Khan</t>
  </si>
  <si>
    <t>0301-7811213</t>
  </si>
  <si>
    <t>Chack No 1/AH P/O Cahk No. 5/AH Tehsil &amp; Distt Khanewal</t>
  </si>
  <si>
    <t>36103-1595523-5</t>
  </si>
  <si>
    <t xml:space="preserve">Wali Muhammad </t>
  </si>
  <si>
    <t>PC</t>
  </si>
  <si>
    <t>0300-8578455</t>
  </si>
  <si>
    <t>House No.3/75 Muhalla Shaikhan wala Tulamba</t>
  </si>
  <si>
    <t>36104-0474949-3</t>
  </si>
  <si>
    <t>Ab+ve</t>
  </si>
  <si>
    <t>768-357/Kwl, 4117/PC</t>
  </si>
  <si>
    <t>Zafar Hussain</t>
  </si>
  <si>
    <t>Basti Malook</t>
  </si>
  <si>
    <t>0300-7376690</t>
  </si>
  <si>
    <t>Basti Kotla Rahim Ali, Multan</t>
  </si>
  <si>
    <t>36102-1891966-7</t>
  </si>
  <si>
    <t>Sipra</t>
  </si>
  <si>
    <t>Chudhry Din Muhammad</t>
  </si>
  <si>
    <t>Messaq Center Mian Channu</t>
  </si>
  <si>
    <t>Incharge (Messaq Center Mian Channu)</t>
  </si>
  <si>
    <t>0301-7826202</t>
  </si>
  <si>
    <t>Chack No. 43/15-L P/O Khas Tehsil Mian channu</t>
  </si>
  <si>
    <t>PC Sihala</t>
  </si>
  <si>
    <t>36104-0463373-5</t>
  </si>
  <si>
    <t>Gujjar</t>
  </si>
  <si>
    <t>100/PC</t>
  </si>
  <si>
    <t>Muhammad Bilal, 575</t>
  </si>
  <si>
    <t>0300-7157282</t>
  </si>
  <si>
    <t xml:space="preserve"> Kot Sargana P/O Chak No. 8/9-R Chak No. 9/9-R Tehsil &amp; Distt khanewal </t>
  </si>
  <si>
    <t>Muhallah Shamasabad Ahamd pur Sial Dist jhang</t>
  </si>
  <si>
    <t>36103-3783694-9</t>
  </si>
  <si>
    <t>NOON</t>
  </si>
  <si>
    <t>Nazir Ahmad</t>
  </si>
  <si>
    <t>Budhla Sant</t>
  </si>
  <si>
    <t>0301-7825495</t>
  </si>
  <si>
    <t>chah Masjid  vala basti jalil po khas tehsil  Multan sadar</t>
  </si>
  <si>
    <t>Chah Masjid Vala basti jalil po khas tehsil  Multan sadar</t>
  </si>
  <si>
    <t>36303-0937333-9</t>
  </si>
  <si>
    <t>Muhammad Asim Saeed, 583</t>
  </si>
  <si>
    <t>Saeed Ahmad Saeed</t>
  </si>
  <si>
    <t>0301-7412074</t>
  </si>
  <si>
    <t xml:space="preserve"> Kot Moolchand 08 Kassi P/O 8 Kassi Tehsil Kabirwala Distt Khanewal</t>
  </si>
  <si>
    <t>36102-1423900-5</t>
  </si>
  <si>
    <t>Muhammad Iqbal</t>
  </si>
  <si>
    <t>0303-6391646</t>
  </si>
  <si>
    <t>Chak No.46/15-L Post office Khas tehsil Mian Channu distt Khanewal</t>
  </si>
  <si>
    <t>36104-0506505-1</t>
  </si>
  <si>
    <t>4005/PC, 598/Kwl</t>
  </si>
  <si>
    <t>Abdul Sattar khan Rana</t>
  </si>
  <si>
    <t>0301-7608500</t>
  </si>
  <si>
    <t>Chak No 2/AH PO Chak 5/AH Tehsil &amp; dISTT Khanewal</t>
  </si>
  <si>
    <t>36103-1668114-1</t>
  </si>
  <si>
    <t>Khushi Muhammad</t>
  </si>
  <si>
    <t>0300-7368467</t>
  </si>
  <si>
    <t>tolay wala mouaza kohi wala po khas tehsial kabeerala</t>
  </si>
  <si>
    <t>36102-6549473-7</t>
  </si>
  <si>
    <t>Abid Mehmood, 630</t>
  </si>
  <si>
    <t>Muhammad Adrees</t>
  </si>
  <si>
    <t>DSP/SDPO Office Jahanian</t>
  </si>
  <si>
    <t>DSP Office</t>
  </si>
  <si>
    <t>0300-6881801</t>
  </si>
  <si>
    <t>Jalal Abad North P/O Khas Tehsil &amp; Distt Multan</t>
  </si>
  <si>
    <t>36303-7224498-3</t>
  </si>
  <si>
    <t>SANGHERA</t>
  </si>
  <si>
    <t>DSP/SDPO Office</t>
  </si>
  <si>
    <t>Nazeer Ahmad Aasi</t>
  </si>
  <si>
    <t>0333-6221528</t>
  </si>
  <si>
    <t>Chack No 168/10-R PO Khanewal</t>
  </si>
  <si>
    <t>Chack No 168/10-R  PO Khanewal</t>
  </si>
  <si>
    <t>36103-9887201-5</t>
  </si>
  <si>
    <t>A</t>
  </si>
  <si>
    <t>Muhammad Yaqoob</t>
  </si>
  <si>
    <t>B.Sc</t>
  </si>
  <si>
    <t>Elite Duty</t>
  </si>
  <si>
    <t>0321-7247012</t>
  </si>
  <si>
    <t>Mohallah Hussain Abad Street No. 01 Mianchannu</t>
  </si>
  <si>
    <t>36104-7387790-7</t>
  </si>
  <si>
    <t>NH &amp; MP</t>
  </si>
  <si>
    <t>CCD Duty</t>
  </si>
  <si>
    <t>0301-7831373</t>
  </si>
  <si>
    <t>Chack No.19/V Po Chak no.15/V Tehsil &amp; Distt Khanewal</t>
  </si>
  <si>
    <t>36103-1585795-1</t>
  </si>
  <si>
    <t>DEEHAR</t>
  </si>
  <si>
    <t>499/kwl</t>
  </si>
  <si>
    <t>Muhammad Tufail Khan Sharwani</t>
  </si>
  <si>
    <t>Chicha watni</t>
  </si>
  <si>
    <t>Pervi Officer (Light Duty Heart Patient)</t>
  </si>
  <si>
    <t>0300-6894002</t>
  </si>
  <si>
    <t>Chack No 4/14-L P/O kassowal Tehsil Chichawatni Dist Khanewal</t>
  </si>
  <si>
    <t>36501-7251940-5</t>
  </si>
  <si>
    <t>Malik Madah Hussain Raza</t>
  </si>
  <si>
    <t>Incharge Chowki Aaqil</t>
  </si>
  <si>
    <t>0301-6793787</t>
  </si>
  <si>
    <t>Chak No 127/15-L Gilanwala Tehsil mian channu</t>
  </si>
  <si>
    <t>36104-8164417-9</t>
  </si>
  <si>
    <t>GILL</t>
  </si>
  <si>
    <t>Nazeer Ahmad</t>
  </si>
  <si>
    <t>0300-8575189</t>
  </si>
  <si>
    <t>Fazal Colony St. No. 2 House No.129 Mian Channu</t>
  </si>
  <si>
    <t>36104-4028620-3</t>
  </si>
  <si>
    <t>Umar Din</t>
  </si>
  <si>
    <t>Escort DPO</t>
  </si>
  <si>
    <t>0300-7896564</t>
  </si>
  <si>
    <t>Chack No27/10-R P/O KhasTehsil  Khanewal</t>
  </si>
  <si>
    <t>36103-8532137-1</t>
  </si>
  <si>
    <t>NOUL</t>
  </si>
  <si>
    <t>Shahid Mehmood, 728</t>
  </si>
  <si>
    <t xml:space="preserve">Asmat Ullah </t>
  </si>
  <si>
    <t>City Mian Channu</t>
  </si>
  <si>
    <t>0300-6896602</t>
  </si>
  <si>
    <t>House No-132 Street No-2 Muhalla Hussain Abad Tehsil Mian Chanu</t>
  </si>
  <si>
    <t>36104-0468585-1</t>
  </si>
  <si>
    <t>Muhammad Shahid, 739</t>
  </si>
  <si>
    <t>Muhammad Idrees</t>
  </si>
  <si>
    <t>0300-6883493</t>
  </si>
  <si>
    <t>po khas Chack No 16V Tehsil &amp; distt Khanewal</t>
  </si>
  <si>
    <t>36103-2147433-7</t>
  </si>
  <si>
    <t>Ejaz Ahmad</t>
  </si>
  <si>
    <t>Lahore</t>
  </si>
  <si>
    <t>0344-4098102</t>
  </si>
  <si>
    <t>Chack No 102/15L Teh Mian Channu</t>
  </si>
  <si>
    <t>36104-0481103-1</t>
  </si>
  <si>
    <t>Shahamand Ali</t>
  </si>
  <si>
    <t>0300-7307486</t>
  </si>
  <si>
    <t xml:space="preserve">Mouza Goband Garh, Chah No Wala, Dharam Pura, </t>
  </si>
  <si>
    <t>36102-3578895-9</t>
  </si>
  <si>
    <t>Samar Abbas, 782</t>
  </si>
  <si>
    <t>Nazar Hussian</t>
  </si>
  <si>
    <t>0300-7160103</t>
  </si>
  <si>
    <t>Moza Hashmat Mirali PO Khas tehsil kabirwala</t>
  </si>
  <si>
    <t>36102-9791591-3</t>
  </si>
  <si>
    <t>1169/kwl, 38/PTC</t>
  </si>
  <si>
    <t>Muhammad Shafi</t>
  </si>
  <si>
    <t>CTD</t>
  </si>
  <si>
    <t>Judicial Duty</t>
  </si>
  <si>
    <t>0300-7890643</t>
  </si>
  <si>
    <t>Chak No.83-85/10-R, Khanewal</t>
  </si>
  <si>
    <t>37101-0924400-9</t>
  </si>
  <si>
    <t>Sial</t>
  </si>
  <si>
    <t>36/CTD, 783</t>
  </si>
  <si>
    <t>Qaisar Nawaz, 785</t>
  </si>
  <si>
    <t>Haqnawaz Khan</t>
  </si>
  <si>
    <t>0333-6223066
0306-6300170</t>
  </si>
  <si>
    <t>Chak No 70/15-L  P/o Khas Tehsil  Mian Channu</t>
  </si>
  <si>
    <t>36104-0430608-9</t>
  </si>
  <si>
    <t>Daha</t>
  </si>
  <si>
    <t>702/kwl, 49/PTC</t>
  </si>
  <si>
    <t>Farrukh Hayat, 786</t>
  </si>
  <si>
    <t>Satellite Town</t>
  </si>
  <si>
    <t>DPO Office</t>
  </si>
  <si>
    <t>Security Branch</t>
  </si>
  <si>
    <t>0300-7891009</t>
  </si>
  <si>
    <t>gilli no.3 house no.18 block no.11 khanewal</t>
  </si>
  <si>
    <t>36103-8891334-5</t>
  </si>
  <si>
    <t>BHUTTA</t>
  </si>
  <si>
    <t>3/SB, 1509/kwl</t>
  </si>
  <si>
    <t>Ahmad Din</t>
  </si>
  <si>
    <t>jahanian</t>
  </si>
  <si>
    <t>0300-7819601</t>
  </si>
  <si>
    <t xml:space="preserve"> Ali Shairwan P/O KhasTehsil  jahanian</t>
  </si>
  <si>
    <t>36101-6838997-7</t>
  </si>
  <si>
    <t>Subhan Ali</t>
  </si>
  <si>
    <t>Khanewal kohna</t>
  </si>
  <si>
    <t>PC-3</t>
  </si>
  <si>
    <t>0300-7374275</t>
  </si>
  <si>
    <t>House No 496 Basti Chan Shah Khanewal</t>
  </si>
  <si>
    <t>36103-8989569-3</t>
  </si>
  <si>
    <t>1402/kwl, 11/kwl</t>
  </si>
  <si>
    <t xml:space="preserve"> Mehmood</t>
  </si>
  <si>
    <t>0300-6889589</t>
  </si>
  <si>
    <t>Chack No 89/15-L Mian Channu</t>
  </si>
  <si>
    <t>36104-0477301-5</t>
  </si>
  <si>
    <t>Ch. Ghulam Ahmad</t>
  </si>
  <si>
    <t>0300-6890129</t>
  </si>
  <si>
    <t>Chak No.129/15-L, Tehsil Mian Channu, District Khanewal</t>
  </si>
  <si>
    <t>36104-4248677-5</t>
  </si>
  <si>
    <t>690,43,6515,690</t>
  </si>
  <si>
    <t>Muhammad Shabbir Khan</t>
  </si>
  <si>
    <t>0305-3902024</t>
  </si>
  <si>
    <t>Chak No.80/10-R, Perowal, Tehsil &amp; District Khanewal</t>
  </si>
  <si>
    <t>36103-1588121-5</t>
  </si>
  <si>
    <r>
      <t> </t>
    </r>
    <r>
      <rPr>
        <sz val="12"/>
        <color rgb="FF1A1515"/>
        <rFont val="Calibri"/>
        <family val="2"/>
        <scheme val="minor"/>
      </rPr>
      <t>B+ve</t>
    </r>
  </si>
  <si>
    <t>Allah Rakha</t>
  </si>
  <si>
    <t>D. Com</t>
  </si>
  <si>
    <t>Jehanian</t>
  </si>
  <si>
    <t>Guard Katchehri Jahanian</t>
  </si>
  <si>
    <t>0300-4388185</t>
  </si>
  <si>
    <t>Chack No 113/10R Teh Jahania Distt khanewal</t>
  </si>
  <si>
    <t>36101-2383318-3</t>
  </si>
  <si>
    <t>BANDESHA</t>
  </si>
  <si>
    <t>Sardar Muhammad Urf Atta Muhammad</t>
  </si>
  <si>
    <t>F.A</t>
  </si>
  <si>
    <t>0300-6887763</t>
  </si>
  <si>
    <t>Family Quarter No.3 Police Lines Khanewal</t>
  </si>
  <si>
    <t>Chak No.115/15-L, Tehsil Mian Channu, District Khanewal</t>
  </si>
  <si>
    <t>36103-1581897-3</t>
  </si>
  <si>
    <t>Dogar</t>
  </si>
  <si>
    <t>763, 568</t>
  </si>
  <si>
    <t>LRP Retired w.e.f 12.05.2025 to 11-05-2026</t>
  </si>
  <si>
    <t>0300-6883230</t>
  </si>
  <si>
    <t>House no 148/155 Street no 3 Muhala Islam Abad Mian Channu</t>
  </si>
  <si>
    <t>Rawalpindi</t>
  </si>
  <si>
    <t>36104-9083871-1</t>
  </si>
  <si>
    <t>Fozia Anwar, 845</t>
  </si>
  <si>
    <t>Anwar Ali</t>
  </si>
  <si>
    <t>Mianchanu</t>
  </si>
  <si>
    <t>Khidmat Center</t>
  </si>
  <si>
    <t>Khidmat Markaz Mian Channu</t>
  </si>
  <si>
    <t>0306-7894648</t>
  </si>
  <si>
    <t>Chak No 9/8-B-R Tehsil mian chanu Distt khanewal</t>
  </si>
  <si>
    <t>Chak No 19/8-B-R Tehsil mian chanu Distt khanewal</t>
  </si>
  <si>
    <t>36104-3915724-6</t>
  </si>
  <si>
    <t>Mahmood Bukhsh</t>
  </si>
  <si>
    <t>0300-7896528</t>
  </si>
  <si>
    <t>Str. No 5 Eid Ghah Mian Channu</t>
  </si>
  <si>
    <t>36104-4914131-5</t>
  </si>
  <si>
    <t>Rehmat Ali</t>
  </si>
  <si>
    <t>Baha-Ud-Din Zikriya</t>
  </si>
  <si>
    <t>0300-0700949</t>
  </si>
  <si>
    <t>House No.1051/J, Awan Street, Khanewal Road Multan</t>
  </si>
  <si>
    <t>36302-9804082-9</t>
  </si>
  <si>
    <t>Awan</t>
  </si>
  <si>
    <t>2445/C</t>
  </si>
  <si>
    <t xml:space="preserve">Chaudary Muhammad Abdul Sattar </t>
  </si>
  <si>
    <t>0300-4710000</t>
  </si>
  <si>
    <t>colony no1Stadium road House no210 Street no1 Khanewal</t>
  </si>
  <si>
    <t>House no 210Colony no1 210 Stadium Road Khanewal</t>
  </si>
  <si>
    <t>36103-1594242-9</t>
  </si>
  <si>
    <t>Traffic</t>
  </si>
  <si>
    <t>Focal Person Session Court Khanewal</t>
  </si>
  <si>
    <t>0306-7359195</t>
  </si>
  <si>
    <t>Khuh Talhi Wala, Mouza Sardar Pur, Tehsil Kabirwal</t>
  </si>
  <si>
    <t>36102-0861509-5</t>
  </si>
  <si>
    <t>Haraj</t>
  </si>
  <si>
    <t xml:space="preserve">Wazeer Ahmad </t>
  </si>
  <si>
    <t>0300-6885329</t>
  </si>
  <si>
    <t>Chak No.168/10-R P/O Khanewal Tehsil &amp; District Khanewal</t>
  </si>
  <si>
    <t>Chack No 172/10-R Teh. Khanewa</t>
  </si>
  <si>
    <t>36103-9772089-9</t>
  </si>
  <si>
    <t>Muhammad Waryam</t>
  </si>
  <si>
    <t>0301-7825363</t>
  </si>
  <si>
    <t>Chak Hashim Haraj P/O Abdul Hakim Tehsil Kabirwala</t>
  </si>
  <si>
    <t>36102-8068090-3</t>
  </si>
  <si>
    <t>Abdul Wahid</t>
  </si>
  <si>
    <t>Guard Katchehry Kabirwala</t>
  </si>
  <si>
    <t>0306-7359960</t>
  </si>
  <si>
    <t>Mauza Jawaahri Chah Machi wala P/O kabirwala Tehsil Kabirwala</t>
  </si>
  <si>
    <t>Mauza Jawaahri Chah Machi wala P/O  Hashmat merali Tehsil  Kabirwala</t>
  </si>
  <si>
    <t>36102-1906079-7</t>
  </si>
  <si>
    <t>Dilshad Khan, 902</t>
  </si>
  <si>
    <t>Muhammad Naseeb Khan</t>
  </si>
  <si>
    <t>0300-7897068</t>
  </si>
  <si>
    <t>city quater house 169 mohalla civil line khanewal</t>
  </si>
  <si>
    <t>kotali p/o khas district Narowal</t>
  </si>
  <si>
    <t>36103-7398404-3</t>
  </si>
  <si>
    <t>Ilm ud Din</t>
  </si>
  <si>
    <t>Complaint Cell Branch</t>
  </si>
  <si>
    <t>Incharge (Incharge Safe City)</t>
  </si>
  <si>
    <t>0300-8394401</t>
  </si>
  <si>
    <t>House No.187 Street No.01 Nizam Abad, Khanewal</t>
  </si>
  <si>
    <t>36103-1632781-5</t>
  </si>
  <si>
    <t>Muhammad Aslam</t>
  </si>
  <si>
    <t>0301-7201159</t>
  </si>
  <si>
    <t>Mouza 5 kasi, Tehsil Kabirwala</t>
  </si>
  <si>
    <t>36102-1901702-3</t>
  </si>
  <si>
    <t>Khizar Hayat</t>
  </si>
  <si>
    <t xml:space="preserve">Elite force </t>
  </si>
  <si>
    <t>0334-6833906</t>
  </si>
  <si>
    <t>Roshan Pur P/O Dharampur Tehsil Kabirwala</t>
  </si>
  <si>
    <t>36302-7628782-3</t>
  </si>
  <si>
    <t>HARAJ</t>
  </si>
  <si>
    <t>Fazal Din</t>
  </si>
  <si>
    <t>0301-7429665</t>
  </si>
  <si>
    <t>Chak No 2/AH P/O Khas Chak No 5/A.H Tehsil &amp; Distt. Khanewal</t>
  </si>
  <si>
    <t>36103-4180053-5</t>
  </si>
  <si>
    <t xml:space="preserve">Hukam Din </t>
  </si>
  <si>
    <t>Guard Katchehry Mian Channu</t>
  </si>
  <si>
    <t>0312-8049728</t>
  </si>
  <si>
    <t>Chack No 128/10-R Teh. Mian Channu</t>
  </si>
  <si>
    <t>36104-9436510-7</t>
  </si>
  <si>
    <t>Abdul Hakeem</t>
  </si>
  <si>
    <t>Guard Session Court Khanewal</t>
  </si>
  <si>
    <t>0333-6223020</t>
  </si>
  <si>
    <t>Basti Chan Shah House No 486 Khanewal</t>
  </si>
  <si>
    <t>36103-0458403-5</t>
  </si>
  <si>
    <t>Muhammad Ameer</t>
  </si>
  <si>
    <t>0333-6214381</t>
  </si>
  <si>
    <t>Marzi Pura Khanewal bypass Muhalla Rehmania Khanewal</t>
  </si>
  <si>
    <t>Chak No 39/10-R P/O Khas Tehsil &amp; Distt. Khanewal</t>
  </si>
  <si>
    <t>36103-1618226-3</t>
  </si>
  <si>
    <t>AWAN</t>
  </si>
  <si>
    <t>Allah Bukhsh</t>
  </si>
  <si>
    <t>MTO</t>
  </si>
  <si>
    <t>0300-6335697</t>
  </si>
  <si>
    <t>Chak No 43/15L P/O Khas Tehsil Mian Channu</t>
  </si>
  <si>
    <t>36104-4383812-3</t>
  </si>
  <si>
    <t>CHAJJU</t>
  </si>
  <si>
    <t>Jaan Muhammad</t>
  </si>
  <si>
    <t>0304-7000339</t>
  </si>
  <si>
    <t>Basti Freed Abad Khanewal</t>
  </si>
  <si>
    <t>36103-0726230-3</t>
  </si>
  <si>
    <t>WEHNIWAAL</t>
  </si>
  <si>
    <t xml:space="preserve">Faiz Ahmed </t>
  </si>
  <si>
    <t>Falcon Police Line</t>
  </si>
  <si>
    <t>Falcon Duty</t>
  </si>
  <si>
    <t>0305-5485647</t>
  </si>
  <si>
    <t>Basti Hussain Abbad ward no 18 Tehsil Kabirwala</t>
  </si>
  <si>
    <t>36102-4461734-9</t>
  </si>
  <si>
    <t>Manzoor Ahmed</t>
  </si>
  <si>
    <t>Lodhran</t>
  </si>
  <si>
    <t>Sadar Lodhran</t>
  </si>
  <si>
    <t>CTD Chung</t>
  </si>
  <si>
    <t>0301-7813493</t>
  </si>
  <si>
    <t>Civil Line, Khanewal</t>
  </si>
  <si>
    <t>Basti Bahamni Wala, Mouza Sal  Sadar Lodhran</t>
  </si>
  <si>
    <t>36103-7662436-3</t>
  </si>
  <si>
    <t>273/LD, 65/kwl, 992/kwl, 129/CTD</t>
  </si>
  <si>
    <t>Mahamand</t>
  </si>
  <si>
    <t>Traffic Staff</t>
  </si>
  <si>
    <t>0308-2257795</t>
  </si>
  <si>
    <t>Gojra Road Street Chagh Abad Muhalla Baig Colony Jhunag</t>
  </si>
  <si>
    <t>42301-9534874-7</t>
  </si>
  <si>
    <t>Mohafiz Branch</t>
  </si>
  <si>
    <t>0300-7375055</t>
  </si>
  <si>
    <t>Chack No.123/10-R Qadeem P/O Khas Tehsil jahania Distt Khanewal</t>
  </si>
  <si>
    <t>36101-8490704-5</t>
  </si>
  <si>
    <t>C</t>
  </si>
  <si>
    <t xml:space="preserve">Muhammad Jafar </t>
  </si>
  <si>
    <t>0306-4981950</t>
  </si>
  <si>
    <t>Mujahida Abad  near ice factory Abdul Hakim Tehsil kabir wala Distt khanewal</t>
  </si>
  <si>
    <t>Mujahida Abad near ice factory Abdul Hakim Tehsil kabir wala Distt khanewal</t>
  </si>
  <si>
    <t>36102-3127249-7</t>
  </si>
  <si>
    <t>3/SBM, 819, 183</t>
  </si>
  <si>
    <t>Muhammad Akbar</t>
  </si>
  <si>
    <t>Suspended</t>
  </si>
  <si>
    <t>0302-7691425</t>
  </si>
  <si>
    <t>Chak No.150/10R Tehsil Jahanian Khanewal</t>
  </si>
  <si>
    <t>36101-0269928-5</t>
  </si>
  <si>
    <t>Talib Anees, 986</t>
  </si>
  <si>
    <t>Abdul hafeez</t>
  </si>
  <si>
    <t>0300-0225270</t>
  </si>
  <si>
    <t>Chak No.19/8-BR Tehsil Mian Channu Khanewal</t>
  </si>
  <si>
    <t>36104-0497721-5</t>
  </si>
  <si>
    <t>Arain</t>
  </si>
  <si>
    <t>98/PTI, 986/Kwl</t>
  </si>
  <si>
    <t>Muhammad Arif, 989</t>
  </si>
  <si>
    <t>Khizar Hayyat</t>
  </si>
  <si>
    <t>Nawan Shehr</t>
  </si>
  <si>
    <t>0306-5139564</t>
  </si>
  <si>
    <t>Mouza Charag Bela Post Office Sardar Pur Tehsil Kabirwala District Khanewal</t>
  </si>
  <si>
    <t>36102-9347098-7</t>
  </si>
  <si>
    <t>Hashim Ali Raza</t>
  </si>
  <si>
    <t>0300-6891837</t>
  </si>
  <si>
    <t>Chak no 19/9-R Shrqi P/O Kacha KhuhTehsil &amp; District Khanewal</t>
  </si>
  <si>
    <t>36103-1645855-7</t>
  </si>
  <si>
    <t xml:space="preserve">Raiz Ahamad </t>
  </si>
  <si>
    <t>Middle</t>
  </si>
  <si>
    <t>0300-4411959</t>
  </si>
  <si>
    <t>City Gate jang road Kabirwala</t>
  </si>
  <si>
    <t>Chack No 8-B/8R Khanewal</t>
  </si>
  <si>
    <t>36102-7460612-1</t>
  </si>
  <si>
    <t>DHUDI</t>
  </si>
  <si>
    <t>`</t>
  </si>
  <si>
    <t>Abdul Raouf, 1017</t>
  </si>
  <si>
    <t>Abdul Hafeez</t>
  </si>
  <si>
    <t>DAE</t>
  </si>
  <si>
    <t>0345-7377527</t>
  </si>
  <si>
    <t>House No 1178 Street No 06 Muhallah Islam Pura Tehsil &amp; Distt Khanewal</t>
  </si>
  <si>
    <t>36103-0778371-9</t>
  </si>
  <si>
    <t>Mahbob Alam</t>
  </si>
  <si>
    <t>0300-7302855</t>
  </si>
  <si>
    <t xml:space="preserve"> Chack No 17/AH P/O Khas Tehsil &amp; Distt Khanewal </t>
  </si>
  <si>
    <t xml:space="preserve">Chack No 17/AH P/O Khas Tehsil &amp; Distt Khanewal </t>
  </si>
  <si>
    <t>36103-1654762-9</t>
  </si>
  <si>
    <t>Imran Shakoor, 1022</t>
  </si>
  <si>
    <t xml:space="preserve">Abdul Shakoor </t>
  </si>
  <si>
    <t>(Muharrar Elite Force) on 30.07.16</t>
  </si>
  <si>
    <t>0300-4104670</t>
  </si>
  <si>
    <t>Chak No 46/15-L P/O Khas Tehsil  Mian Channu Distt Khanewal</t>
  </si>
  <si>
    <t>36104-0410741-3</t>
  </si>
  <si>
    <t>Muhammad Tayyab, 1051</t>
  </si>
  <si>
    <t xml:space="preserve">Muhammad Naeem </t>
  </si>
  <si>
    <t xml:space="preserve"> PS City Khanewal</t>
  </si>
  <si>
    <t>0345-7299331</t>
  </si>
  <si>
    <t>Moza Nund Pur P/O Choparhatta Tehsil  kabirwala Distt khanewal</t>
  </si>
  <si>
    <t>36102-2818072-3</t>
  </si>
  <si>
    <t>Rab Nawaz khan</t>
  </si>
  <si>
    <t>Peer Mehal</t>
  </si>
  <si>
    <t>Arroti</t>
  </si>
  <si>
    <t>0308-8345296</t>
  </si>
  <si>
    <t>chak#751 GB PO sandhilian wali tehsil kamalia district TT Singh</t>
  </si>
  <si>
    <t>Chak No 751GB Peer Mahal</t>
  </si>
  <si>
    <t>33302-4750172-5</t>
  </si>
  <si>
    <t>Muhammad Naveed Kashif, 1055</t>
  </si>
  <si>
    <t xml:space="preserve">Liaquat Ali </t>
  </si>
  <si>
    <t>Elite Force  (incharge Mess w.e.f 17.06.2021)</t>
  </si>
  <si>
    <t>0301-7206758</t>
  </si>
  <si>
    <t>Chah Sarang Wala Tehsil Kabir Wala Distt Khanewal</t>
  </si>
  <si>
    <t>36102-8145596-3</t>
  </si>
  <si>
    <t>Shafqat Hussain, 1111</t>
  </si>
  <si>
    <t>Fazal Kareem</t>
  </si>
  <si>
    <t>0321-6895714</t>
  </si>
  <si>
    <t>People Colony House No.8/D W Block Khanewal.</t>
  </si>
  <si>
    <t>Chak No.34/10-R,PO Khas Tehsil Khanewal.</t>
  </si>
  <si>
    <t>36103-3907433-5</t>
  </si>
  <si>
    <t>NIAZI</t>
  </si>
  <si>
    <t>Muhammad Sarfraz Joyia</t>
  </si>
  <si>
    <t>0304-1072527</t>
  </si>
  <si>
    <t>chah joyianwala Kuksan Abad po sari sidhu tehsil Kabirwala</t>
  </si>
  <si>
    <t>42201-1517578-3</t>
  </si>
  <si>
    <t>JOIYA</t>
  </si>
  <si>
    <t>Ghulam Khazir, 1200</t>
  </si>
  <si>
    <t>Fida Hussain</t>
  </si>
  <si>
    <t>0300-6887635</t>
  </si>
  <si>
    <t>Railway Phatik Chak NO 134/16-L PO Mohsinwal Tehsil Mian Chhannu</t>
  </si>
  <si>
    <t>36104-0663901-9</t>
  </si>
  <si>
    <t>A-ve</t>
  </si>
  <si>
    <t>Muhammad Imran, 1203</t>
  </si>
  <si>
    <t>Sabir Hussain</t>
  </si>
  <si>
    <t>0345-7395722</t>
  </si>
  <si>
    <t>Sabir Laj Near Sdiq Akbar House No.837 Colony No.3 Khanewal</t>
  </si>
  <si>
    <t>36103-5770928-1</t>
  </si>
  <si>
    <t>Safdar Hussain, 1246</t>
  </si>
  <si>
    <t>Nazir Hussain</t>
  </si>
  <si>
    <t>0300-6798983</t>
  </si>
  <si>
    <t>Moza Jwahri PO  Hashmat Mirali Tehsail Kabirwala</t>
  </si>
  <si>
    <t>36102-1011095-3</t>
  </si>
  <si>
    <t>TANGRA</t>
  </si>
  <si>
    <t>MUHAMMAD DIN</t>
  </si>
  <si>
    <t>0321-7356165</t>
  </si>
  <si>
    <t>CHAK No.141/10-R JAHANIAN KHANEWAL</t>
  </si>
  <si>
    <t>36101-5482075-7</t>
  </si>
  <si>
    <t>6501/866</t>
  </si>
  <si>
    <t>Sikandar Hayat Saqi, 1274</t>
  </si>
  <si>
    <t>Muhammad Khan</t>
  </si>
  <si>
    <t>0300-6396674</t>
  </si>
  <si>
    <t>Moza Manak Hiraj PS Tulamba tehsil Mian Channu distt Khanewal</t>
  </si>
  <si>
    <t>36104-9163597-1</t>
  </si>
  <si>
    <t>Hiraj</t>
  </si>
  <si>
    <t>1121/C-Kwl, 1202/HC-kwl, 1663/PC-1, 142/PC-1</t>
  </si>
  <si>
    <t>Hafeez Anwar, 1292, 18/SBM</t>
  </si>
  <si>
    <t xml:space="preserve"> Mian Anwar Ali</t>
  </si>
  <si>
    <t>0301-4912314</t>
  </si>
  <si>
    <t xml:space="preserve"> Near chungi no 05 house no 193/5  bhair wali Muhallah Islam Abad Mian Channu</t>
  </si>
  <si>
    <t>36104-0383804-5</t>
  </si>
  <si>
    <t>18/SBM</t>
  </si>
  <si>
    <t>Din Muhammad</t>
  </si>
  <si>
    <t>BA/LLB</t>
  </si>
  <si>
    <t>0300-7346472</t>
  </si>
  <si>
    <t>Chak NO.134/10-R  PO Thatha Sadiq Abad  Tehsil Jehanian</t>
  </si>
  <si>
    <t>36101-0344406-9</t>
  </si>
  <si>
    <t>Muhammad Younas, 1323</t>
  </si>
  <si>
    <t xml:space="preserve">Muhammad Ibrahim </t>
  </si>
  <si>
    <t>Kot Sultan</t>
  </si>
  <si>
    <t>0301-3900150</t>
  </si>
  <si>
    <t>CHAK NO.174/ADA P/O 172/T.T.A ,LAYYAH</t>
  </si>
  <si>
    <t>32203-4852187-7</t>
  </si>
  <si>
    <t>0300-6884177</t>
  </si>
  <si>
    <t>Chak No.151/10-R Pervaiz wala tehsil Jahanian distt Khanewal</t>
  </si>
  <si>
    <t>36101-3527509-9</t>
  </si>
  <si>
    <t>JUTT SOHAR</t>
  </si>
  <si>
    <t>1312, 971/Kwl,   13169/PC</t>
  </si>
  <si>
    <t>Zahoor Ahmad</t>
  </si>
  <si>
    <t>0345-7461686</t>
  </si>
  <si>
    <t>Basti Sanpal,Chogta Panjuanna P/O Tulamba tehsil Mian Channua</t>
  </si>
  <si>
    <t>36104-5270402-9</t>
  </si>
  <si>
    <t>79/kwl,9510/PC, 5252/PC,6830/PC,</t>
  </si>
  <si>
    <t>0333-6160363</t>
  </si>
  <si>
    <t>Chah Akkan Wala, Allah Abad P/O Kabirwala tehsil Kabirwala</t>
  </si>
  <si>
    <t>36102-1910611-1</t>
  </si>
  <si>
    <t>Ahmad Raza, 1360</t>
  </si>
  <si>
    <t>Abdul Razzaq</t>
  </si>
  <si>
    <t>Escort Session</t>
  </si>
  <si>
    <t>Escort Session Khanewal</t>
  </si>
  <si>
    <r>
      <t xml:space="preserve">Incharge  </t>
    </r>
    <r>
      <rPr>
        <b/>
        <sz val="10"/>
        <color indexed="8"/>
        <rFont val="Calibri"/>
        <family val="2"/>
        <scheme val="minor"/>
      </rPr>
      <t>(Light Duty)</t>
    </r>
  </si>
  <si>
    <t>0300-7323535</t>
  </si>
  <si>
    <t xml:space="preserve">Allah Abad  P/O Khas Tehsil kabirwala                        </t>
  </si>
  <si>
    <t>36102-4434071-1</t>
  </si>
  <si>
    <t>Abdul Rehman</t>
  </si>
  <si>
    <t>0302-7607167</t>
  </si>
  <si>
    <t>Muhallah Fareed Abad Str No 21 Makhdom Pur</t>
  </si>
  <si>
    <t>36103-3651735-7</t>
  </si>
  <si>
    <t>Talib Hussain</t>
  </si>
  <si>
    <t>0301-7537712</t>
  </si>
  <si>
    <t xml:space="preserve"> CHAK NO 2/T P/O 7/T TEHSIL DIST.MULTAN</t>
  </si>
  <si>
    <t xml:space="preserve"> 36302-1409406-9</t>
  </si>
  <si>
    <t>Saho</t>
  </si>
  <si>
    <t>Waheed Iqbal, 1120, 08/HC, 1842</t>
  </si>
  <si>
    <t xml:space="preserve">Falak Shair </t>
  </si>
  <si>
    <t>0301-5266666</t>
  </si>
  <si>
    <t>Dharkhana Chack No 8-DH Tehsil kabirwala</t>
  </si>
  <si>
    <t>PO Dharkhana Chack No 8-DH Tehsil Kabirwala.</t>
  </si>
  <si>
    <t>36102-7896106-1</t>
  </si>
  <si>
    <t>Shahid Aziz, 1951</t>
  </si>
  <si>
    <t>Abdul Aziz</t>
  </si>
  <si>
    <t xml:space="preserve">DEG Multan </t>
  </si>
  <si>
    <t>0300-7304949</t>
  </si>
  <si>
    <t>36104-0503285-3</t>
  </si>
  <si>
    <t xml:space="preserve"> A+ve</t>
  </si>
  <si>
    <t>Muhammad Ejaz, 2720</t>
  </si>
  <si>
    <t>Ali Muhammad</t>
  </si>
  <si>
    <t>0300-6794294</t>
  </si>
  <si>
    <t>Mouza Kotli Muslim, P/O Jhok Weins, Tehsil &amp; District Multan</t>
  </si>
  <si>
    <t>36303-2026669-7</t>
  </si>
  <si>
    <t>Jowa</t>
  </si>
  <si>
    <t>Qadirpur Rawan</t>
  </si>
  <si>
    <t>0300-6366388</t>
  </si>
  <si>
    <t>Basti Abbas Wala, Mouza Kukri Timak, Tehsil &amp; District Multan</t>
  </si>
  <si>
    <t>36302-8622464-5</t>
  </si>
  <si>
    <t>NONAARI</t>
  </si>
  <si>
    <t>Muhammad Akmal Sidduqui, 6530</t>
  </si>
  <si>
    <t>RPO office Multan</t>
  </si>
  <si>
    <t>0301-7609268</t>
  </si>
  <si>
    <t>Chah Muhbat wala P/O Rukn Wala Jodh Pur Tehsil Kabirwala</t>
  </si>
  <si>
    <t>36102-1923874-3</t>
  </si>
  <si>
    <t>Hattar</t>
  </si>
  <si>
    <t>531/ Kwl, 212/kwl</t>
  </si>
  <si>
    <t>Muhammad Shafique, 6567</t>
  </si>
  <si>
    <t>Muhammad Rafique</t>
  </si>
  <si>
    <t>Reader Branch</t>
  </si>
  <si>
    <t>0300-8390542</t>
  </si>
  <si>
    <t>Moza 3 Kassi Saydan wali P/O 3 Kasi Jadeed Tehsil Kabirwala District Khanewal</t>
  </si>
  <si>
    <t>36102-6504523-9</t>
  </si>
  <si>
    <t>Muhammad Afzal, 6783</t>
  </si>
  <si>
    <t>Hassan Muhammad</t>
  </si>
  <si>
    <t>0302-7303718</t>
  </si>
  <si>
    <t>Khoti Wala P/O Kot Gujjaran Tehsil Multan</t>
  </si>
  <si>
    <t>36302-9471790-3</t>
  </si>
  <si>
    <t>Bhati</t>
  </si>
  <si>
    <t>Naseem Abbas, 6765</t>
  </si>
  <si>
    <t>Muhammad Afzal</t>
  </si>
  <si>
    <t>Setal Mari</t>
  </si>
  <si>
    <t>0300-5632227</t>
  </si>
  <si>
    <t>Chah Munshi Wala Pera Ghaib Road Samijabad Near Girl high school multan</t>
  </si>
  <si>
    <t xml:space="preserve">	36102-1868317-9</t>
  </si>
  <si>
    <t>Khichi</t>
  </si>
  <si>
    <t>0345-7381889</t>
  </si>
  <si>
    <t>Shahbaz Colony Mauza JamesaAbad Tehsil Kabirwala</t>
  </si>
  <si>
    <t>36102-9362427-7</t>
  </si>
  <si>
    <t>Shoukat Ali</t>
  </si>
  <si>
    <t>FSc</t>
  </si>
  <si>
    <t>0300-8889873</t>
  </si>
  <si>
    <t>House  No 1104, Street No1 Colony No 3 
khanewal</t>
  </si>
  <si>
    <t>36103-8900097-7</t>
  </si>
  <si>
    <t>357, 1403/kwl</t>
  </si>
  <si>
    <t>Muhammad Hussian</t>
  </si>
  <si>
    <t>0300-6881963</t>
  </si>
  <si>
    <t>Near Broook bond Factory chak no 88/10-R P/O Khas Tehsil &amp; Distt. khanewal</t>
  </si>
  <si>
    <t>36103-3966918-5</t>
  </si>
  <si>
    <t>Transferre from this district to CCD vide IGP Office order No.AD/E-II/1315-24/E-VII, dated 17.04.2025</t>
  </si>
  <si>
    <t>0300-7193799</t>
  </si>
  <si>
    <t>Chak Hashim Haraj Ali Chappa  Abdul Hakeem Tehsil Kabirwala Distt Khanewal</t>
  </si>
  <si>
    <t>Ali Chappa P/O Chak No.8/9B-R Tehsil Mian Channu Distt Khanewl</t>
  </si>
  <si>
    <t>36102-8049945-3</t>
  </si>
  <si>
    <t>Muhammad Hanif</t>
  </si>
  <si>
    <t>0300-7897231</t>
  </si>
  <si>
    <t>Chack No 132/16-L Teh Mian Channu</t>
  </si>
  <si>
    <t>Khushab</t>
  </si>
  <si>
    <t>36104-0445215-7</t>
  </si>
  <si>
    <t>Muhammad Aslam, 2335, 120/PTS</t>
  </si>
  <si>
    <t>Qadir Bakhsh</t>
  </si>
  <si>
    <t>Sargodha</t>
  </si>
  <si>
    <t>Shahnikdar</t>
  </si>
  <si>
    <t>0300-6014217</t>
  </si>
  <si>
    <t>Chak no 136 Shumali P/O sillan wali teh sillna wali, Dist Sargodha</t>
  </si>
  <si>
    <t>38405-2295945-1</t>
  </si>
  <si>
    <t>Haree</t>
  </si>
  <si>
    <t>Muhammad Ejaz, 3, 1120-M</t>
  </si>
  <si>
    <t>1120-M</t>
  </si>
  <si>
    <t>Zulafqar Ali 223, 74-M (Ex-SI)</t>
  </si>
  <si>
    <t>74-M</t>
  </si>
  <si>
    <t>Ashfaq Ahmad, 342-M</t>
  </si>
  <si>
    <t>342-M</t>
  </si>
  <si>
    <t>Sajjad Ahmad, 925-M</t>
  </si>
  <si>
    <t>925-M</t>
  </si>
  <si>
    <t>Muhammad Afzal, 5/SBM, 1064-M</t>
  </si>
  <si>
    <t>1064-M</t>
  </si>
  <si>
    <t>Mushtaq ahmad, 21, 1172-M</t>
  </si>
  <si>
    <t>1172-M</t>
  </si>
  <si>
    <t>Ghazanfar Abass, 41, 208-M</t>
  </si>
  <si>
    <t>208-M</t>
  </si>
  <si>
    <t>Muhammad Iqbal Kaleem, 871, 212-M</t>
  </si>
  <si>
    <t>212-M</t>
  </si>
  <si>
    <t>Muhammad Arif, 67, 1151-M</t>
  </si>
  <si>
    <t>1151-M</t>
  </si>
  <si>
    <t>Muhammad Saqib, 71, 1193-M</t>
  </si>
  <si>
    <t>1193-M</t>
  </si>
  <si>
    <t>Muhammaf Rafique, 79, 1098-M</t>
  </si>
  <si>
    <t>1098-M</t>
  </si>
  <si>
    <t>Noreen Akhtar, 154, 1061-M</t>
  </si>
  <si>
    <t>1061-M</t>
  </si>
  <si>
    <t>Muhammad Azhar,160, 365-M</t>
  </si>
  <si>
    <t>365-M</t>
  </si>
  <si>
    <t>Muhammad Ehsan, 171, 747-M</t>
  </si>
  <si>
    <t>747-M</t>
  </si>
  <si>
    <t>Muhammad Ajmal, 190, 1184-M</t>
  </si>
  <si>
    <t>1184-M</t>
  </si>
  <si>
    <t>Muhammad Arif, 669, 207-M</t>
  </si>
  <si>
    <t>207-M</t>
  </si>
  <si>
    <t>Zameer Hussain 1248, 212-M</t>
  </si>
  <si>
    <t>Muhammad Saleem, 218, 1164-M</t>
  </si>
  <si>
    <t>1164-M</t>
  </si>
  <si>
    <t>Azhar Hussain, 220-M</t>
  </si>
  <si>
    <t>220-M</t>
  </si>
  <si>
    <t>Muhammad Ameen, 282, 1063-M</t>
  </si>
  <si>
    <t>1063-M</t>
  </si>
  <si>
    <t>Mumtaz Hussain, 290, 1040-M</t>
  </si>
  <si>
    <t>1040-M</t>
  </si>
  <si>
    <t>Imtiaz Ahmad, 308, 1005-M</t>
  </si>
  <si>
    <t>1005-M</t>
  </si>
  <si>
    <t>Sardool Ahmad, 319, 1150-M</t>
  </si>
  <si>
    <t>1150-M</t>
  </si>
  <si>
    <t>Shokat Ali, 333, 347-M</t>
  </si>
  <si>
    <t>347-M</t>
  </si>
  <si>
    <t>Syed Mustafa Hussain Naqvi, 742-M</t>
  </si>
  <si>
    <t>742-M</t>
  </si>
  <si>
    <t>Sajjad Mubark, 20, 1039-M</t>
  </si>
  <si>
    <t>1039-M</t>
  </si>
  <si>
    <t>Muhammad Jahangir 783, 366-M</t>
  </si>
  <si>
    <t>366-M</t>
  </si>
  <si>
    <t>Muhammad Ishfaq,  824, 410-M</t>
  </si>
  <si>
    <t>410-M</t>
  </si>
  <si>
    <t>Qurban Ali, 415, 1198-M</t>
  </si>
  <si>
    <t>1198-M</t>
  </si>
  <si>
    <t>Shaukat Ali, 425, 194-M</t>
  </si>
  <si>
    <t>194-M</t>
  </si>
  <si>
    <t>Muhammad Iqbal, 432-M</t>
  </si>
  <si>
    <t>432-M</t>
  </si>
  <si>
    <t>Nasir Mehmood, 443, 1174-M</t>
  </si>
  <si>
    <t>1174-M</t>
  </si>
  <si>
    <t>Hamid Raza, 449, 497-M</t>
  </si>
  <si>
    <t>497-M</t>
  </si>
  <si>
    <t>Muhammad Sajid Mehmood, 466, 1089-M</t>
  </si>
  <si>
    <t>1089-M</t>
  </si>
  <si>
    <t>Muhammad Mushtaq, 263, 469-M</t>
  </si>
  <si>
    <t>469-M</t>
  </si>
  <si>
    <t>Tanveer ahmad, 795, 490-M</t>
  </si>
  <si>
    <t>490-M</t>
  </si>
  <si>
    <t>Shehryar Khan, 500, 1003-M</t>
  </si>
  <si>
    <t>1003-M</t>
  </si>
  <si>
    <t>Kazam Ali, 534-M</t>
  </si>
  <si>
    <t>534-M</t>
  </si>
  <si>
    <t>Muhammad Akbar, 544, 806-M</t>
  </si>
  <si>
    <t>806-M</t>
  </si>
  <si>
    <t>Muhammad Azhar, 551, 1000-M</t>
  </si>
  <si>
    <t>1000-M</t>
  </si>
  <si>
    <t>Ulfat Abbas, 552, 1013-M</t>
  </si>
  <si>
    <t>1013-M</t>
  </si>
  <si>
    <t>Tariq Mehmood Gujjar, 560, 998-M</t>
  </si>
  <si>
    <t>998-M</t>
  </si>
  <si>
    <t>Niamat Ali, 1121, 578-M</t>
  </si>
  <si>
    <t>578-M</t>
  </si>
  <si>
    <t>Sajjad Ahmad, 598, 343-M</t>
  </si>
  <si>
    <t>343-M</t>
  </si>
  <si>
    <t>Muhammad Asif Iqbal, 614, 292-M</t>
  </si>
  <si>
    <t>292-M</t>
  </si>
  <si>
    <t>Muhammad Tahir, 615, 860-M</t>
  </si>
  <si>
    <t>860-M</t>
  </si>
  <si>
    <t>Muhammad Sajid Iqbal, 653-M</t>
  </si>
  <si>
    <t>653-M</t>
  </si>
  <si>
    <t>Ali Raza, 655-M</t>
  </si>
  <si>
    <t>655-M</t>
  </si>
  <si>
    <t>Muhammad Nawaz, 664, 1145-M</t>
  </si>
  <si>
    <t>1145-M</t>
  </si>
  <si>
    <t>Wasif Daad Khan, 676, 1067-M</t>
  </si>
  <si>
    <t>1067-M</t>
  </si>
  <si>
    <t>Imran Raza, 704-M</t>
  </si>
  <si>
    <t>704-M</t>
  </si>
  <si>
    <t>Muhammad Nasir Nazeer, 709-M</t>
  </si>
  <si>
    <t>709-M</t>
  </si>
  <si>
    <t>Abdul Rasheed, 724, 1002-M</t>
  </si>
  <si>
    <t>1002-M</t>
  </si>
  <si>
    <t>Iftikhar Ahmad, 754, 752-M</t>
  </si>
  <si>
    <t>752-M</t>
  </si>
  <si>
    <t>Muhammad Arshad, 1849, 776-M</t>
  </si>
  <si>
    <t>776-M</t>
  </si>
  <si>
    <t>Muhammad Iqbal, 1062-M</t>
  </si>
  <si>
    <t>1062-M</t>
  </si>
  <si>
    <t>Safdar Ali, 720, 792-M</t>
  </si>
  <si>
    <t>792-M</t>
  </si>
  <si>
    <t>Muhammad Babar, 800-M</t>
  </si>
  <si>
    <t>800-M</t>
  </si>
  <si>
    <t>Zafar Iqbal, 807, 805-M</t>
  </si>
  <si>
    <t>805-M</t>
  </si>
  <si>
    <t>Muhammad Akhtar, 6515, 810-M</t>
  </si>
  <si>
    <t>810-M</t>
  </si>
  <si>
    <t>Rauf Anjum, 831-M</t>
  </si>
  <si>
    <t>831-M</t>
  </si>
  <si>
    <t>Muhammad Javed, 831, 242-M</t>
  </si>
  <si>
    <t>242-M</t>
  </si>
  <si>
    <t>Javed Iqbal, 763, 837-M</t>
  </si>
  <si>
    <t>837-M</t>
  </si>
  <si>
    <t>Abdul Sattar, 777, 842-M</t>
  </si>
  <si>
    <t>842-M</t>
  </si>
  <si>
    <t>Muhammad Aslam, 871, 856-M</t>
  </si>
  <si>
    <t>856-M</t>
  </si>
  <si>
    <t>Muhammad Saleem, 764, 858-M</t>
  </si>
  <si>
    <t>858-M</t>
  </si>
  <si>
    <t>Munawar Sattar, 786, 877-M</t>
  </si>
  <si>
    <t>877-M</t>
  </si>
  <si>
    <t>Khizar Hayat, 6505, 884-M</t>
  </si>
  <si>
    <t>884-M</t>
  </si>
  <si>
    <t>Muhammad Ashraf, 180, 888-M</t>
  </si>
  <si>
    <t>888-M</t>
  </si>
  <si>
    <t>Muhammad Zafar, 889-M</t>
  </si>
  <si>
    <t>889-M</t>
  </si>
  <si>
    <t>Muhammad Ali, 296, 898-M</t>
  </si>
  <si>
    <t>898-M</t>
  </si>
  <si>
    <t>Tahir Iqbal, 914, 729-M</t>
  </si>
  <si>
    <t>729-M</t>
  </si>
  <si>
    <t>Shahid Mehmood, 374, 920-M</t>
  </si>
  <si>
    <t>920-M</t>
  </si>
  <si>
    <t>Muhammad Bilal, 928, 1072-M</t>
  </si>
  <si>
    <t>1072-M</t>
  </si>
  <si>
    <t>Sajjad Hussain, 929, 780-M</t>
  </si>
  <si>
    <t>780-M</t>
  </si>
  <si>
    <t>Mubarak Ali, 298, 930-M</t>
  </si>
  <si>
    <t>930-M</t>
  </si>
  <si>
    <t>Sajid Hussain, 901, 939-M</t>
  </si>
  <si>
    <t>939-M</t>
  </si>
  <si>
    <t>Farrukh Ameer, 956, 999-M</t>
  </si>
  <si>
    <t>999-M</t>
  </si>
  <si>
    <t>Mazhar Iqbal, 959, 773-M</t>
  </si>
  <si>
    <t>773-M</t>
  </si>
  <si>
    <t>Tariq Faheem, 960-M</t>
  </si>
  <si>
    <t>960-M</t>
  </si>
  <si>
    <t>Ghulam Rasool, 965, 369-M</t>
  </si>
  <si>
    <t>369-M</t>
  </si>
  <si>
    <t>Azhar Mehmood, 1292, 968-M</t>
  </si>
  <si>
    <t>968-M</t>
  </si>
  <si>
    <t>Saleem Raza, 969, 1053-M</t>
  </si>
  <si>
    <t>1053-M</t>
  </si>
  <si>
    <t>Tariq Mehmood, 462, 970-M</t>
  </si>
  <si>
    <t>970-M</t>
  </si>
  <si>
    <t>Muhammad Azeem, 972, 1036-M</t>
  </si>
  <si>
    <t>1036-M</t>
  </si>
  <si>
    <t>Muhammad Javed, 147, 974-M</t>
  </si>
  <si>
    <t>974-M</t>
  </si>
  <si>
    <t>Muhammad Saleem, 991, 1165-M</t>
  </si>
  <si>
    <t>1165-M</t>
  </si>
  <si>
    <t>Muhammad Yasin, 1006, 1084-M</t>
  </si>
  <si>
    <t>1084-M</t>
  </si>
  <si>
    <t>Mashkoor Alam, 1019, 312-M</t>
  </si>
  <si>
    <t>312-M</t>
  </si>
  <si>
    <t>Muhammad Jahangir, 887, 1054-M</t>
  </si>
  <si>
    <t>1054-M</t>
  </si>
  <si>
    <t>Fidda Hussain, 1143, 1099-M</t>
  </si>
  <si>
    <t>1099-M</t>
  </si>
  <si>
    <t>Muhammad Aslam, 1246, 1001-M</t>
  </si>
  <si>
    <t>1001-M</t>
  </si>
  <si>
    <t>Muhammad Ramzan, 1196/ 1296, 1140-M</t>
  </si>
  <si>
    <t>1140-M</t>
  </si>
  <si>
    <t>Muhammad Sajid, 1324, 1060-M</t>
  </si>
  <si>
    <t>1060-M</t>
  </si>
  <si>
    <t>Kamran Haider, 1352, 17/SBM, 1146-M</t>
  </si>
  <si>
    <t>1146-M</t>
  </si>
  <si>
    <t>Muhammad Ramzan, 1354, 1077-M</t>
  </si>
  <si>
    <t>1077-M</t>
  </si>
  <si>
    <t>Muhammad Umar, 1501, 1066-M</t>
  </si>
  <si>
    <t>1066-M</t>
  </si>
  <si>
    <t>Khalid Hussain, 1581, 1112-M</t>
  </si>
  <si>
    <t>1112-M</t>
  </si>
  <si>
    <t>CHAK NO 6-MR MAKHDOOM RASHEED MULTAN</t>
  </si>
  <si>
    <t>Muhammad Azhar, 3499, 839-M</t>
  </si>
  <si>
    <t>839-M</t>
  </si>
  <si>
    <t>Khalil Haider, 56-M</t>
  </si>
  <si>
    <t>56-M</t>
  </si>
  <si>
    <t>Taimoor Ahsan, 107-M</t>
  </si>
  <si>
    <t>107-M</t>
  </si>
  <si>
    <t>Bilal Ahmad, 944, 994-M</t>
  </si>
  <si>
    <t>994-M</t>
  </si>
  <si>
    <t>Muhammad Riaz, 426, 695-M</t>
  </si>
  <si>
    <t>695-M</t>
  </si>
  <si>
    <t>Muhammad Rafiq Naeem, 916, 855-M</t>
  </si>
  <si>
    <t>855-M</t>
  </si>
  <si>
    <t>Muhammad Nawaz, 357-M, M-339 (Ex-SI)</t>
  </si>
  <si>
    <t>M-339</t>
  </si>
  <si>
    <t>Imran Sarwar, M-355 (Ex-SI)</t>
  </si>
  <si>
    <t>M-355</t>
  </si>
  <si>
    <t>5-ASI</t>
  </si>
  <si>
    <t>94-ASI</t>
  </si>
  <si>
    <t>96-ASI</t>
  </si>
  <si>
    <t>109-ASI</t>
  </si>
  <si>
    <t>131-ASI</t>
  </si>
  <si>
    <t>134-ASI</t>
  </si>
  <si>
    <t>173-ASI</t>
  </si>
  <si>
    <t>184-ASI</t>
  </si>
  <si>
    <t>250-ASI</t>
  </si>
  <si>
    <t>266-ASI</t>
  </si>
  <si>
    <t>288-ASI</t>
  </si>
  <si>
    <t>323-ASI</t>
  </si>
  <si>
    <t>328-ASI</t>
  </si>
  <si>
    <t>339-ASI</t>
  </si>
  <si>
    <t>T-ASI</t>
  </si>
  <si>
    <t>347-ASI</t>
  </si>
  <si>
    <t>417-ASI</t>
  </si>
  <si>
    <t>428-ASI</t>
  </si>
  <si>
    <t>431-ASI</t>
  </si>
  <si>
    <t>506-ASI</t>
  </si>
  <si>
    <t>510-ASI</t>
  </si>
  <si>
    <t>532-ASI</t>
  </si>
  <si>
    <t>575-ASI</t>
  </si>
  <si>
    <t>583-ASI</t>
  </si>
  <si>
    <t>630-ASI</t>
  </si>
  <si>
    <t>Recruited as T-ASI</t>
  </si>
  <si>
    <t>728-ASI</t>
  </si>
  <si>
    <t>739-ASI</t>
  </si>
  <si>
    <t>782-ASI</t>
  </si>
  <si>
    <t>785-ASI</t>
  </si>
  <si>
    <t>786-ASI</t>
  </si>
  <si>
    <t>845-ASI</t>
  </si>
  <si>
    <t>902-ASI</t>
  </si>
  <si>
    <t>986-ASI</t>
  </si>
  <si>
    <t>989-ASI</t>
  </si>
  <si>
    <t>1017-ASI</t>
  </si>
  <si>
    <t>1022-ASI</t>
  </si>
  <si>
    <t>1051-ASI</t>
  </si>
  <si>
    <t>1055-ASI</t>
  </si>
  <si>
    <t>1111-ASI</t>
  </si>
  <si>
    <t>1200-ASI</t>
  </si>
  <si>
    <t>1203-ASI</t>
  </si>
  <si>
    <t>1246-ASI</t>
  </si>
  <si>
    <t>1274-ASI</t>
  </si>
  <si>
    <t>1292-ASI</t>
  </si>
  <si>
    <t>1323-ASI</t>
  </si>
  <si>
    <t>1360-ASI</t>
  </si>
  <si>
    <t>1120-ASI</t>
  </si>
  <si>
    <t>1951-ASI</t>
  </si>
  <si>
    <t>2720-ASI</t>
  </si>
  <si>
    <t>6530-ASI</t>
  </si>
  <si>
    <t>6567-ASI</t>
  </si>
  <si>
    <t>6783-ASI</t>
  </si>
  <si>
    <t>6765-ASI</t>
  </si>
  <si>
    <t>2335-ASI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</si>
</sst>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indexed="8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1A1515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vertical="center" shrinkToFit="1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shrinkToFi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shrinkToFit="1"/>
    </xf>
    <xf numFmtId="14" fontId="5" fillId="0" borderId="1" xfId="0" applyNumberFormat="1" applyFont="1" applyBorder="1" applyAlignment="1">
      <alignment horizontal="center" shrinkToFit="1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center" vertical="center" shrinkToFit="1"/>
    </xf>
    <xf numFmtId="14" fontId="5" fillId="0" borderId="2" xfId="0" applyNumberFormat="1" applyFont="1" applyBorder="1" applyAlignment="1">
      <alignment horizontal="center" vertical="center" shrinkToFit="1"/>
    </xf>
    <xf numFmtId="14" fontId="5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1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horizontal="left" vertical="center" wrapText="1" shrinkToFi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13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a%20printer\Documents\tem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a%20printer\Desktop\Driving%20License%20information\Driving%20License%20inform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SI\Desktop\TRANSFER%20WORK\1.%20Reserve%20Senior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B2" t="str">
            <v>MLC Autopsy</v>
          </cell>
        </row>
        <row r="3">
          <cell r="B3" t="str">
            <v>MLC Autopsy</v>
          </cell>
        </row>
        <row r="4">
          <cell r="B4" t="str">
            <v>MLC Autopsy</v>
          </cell>
        </row>
        <row r="5">
          <cell r="B5" t="str">
            <v>MLC Autopsy</v>
          </cell>
        </row>
        <row r="6">
          <cell r="B6" t="str">
            <v>MLC Autopsy</v>
          </cell>
        </row>
        <row r="7">
          <cell r="B7" t="str">
            <v>MLC Autopsy</v>
          </cell>
        </row>
        <row r="8">
          <cell r="B8" t="str">
            <v>MLC Autopsy</v>
          </cell>
        </row>
        <row r="9">
          <cell r="B9" t="str">
            <v>MLC Autopsy</v>
          </cell>
        </row>
        <row r="10">
          <cell r="B10" t="str">
            <v>MLC Autopsy</v>
          </cell>
        </row>
        <row r="11">
          <cell r="B11" t="str">
            <v>MLC Autopsy</v>
          </cell>
        </row>
        <row r="12">
          <cell r="B12" t="str">
            <v>MLC Autopsy</v>
          </cell>
        </row>
        <row r="13">
          <cell r="B13" t="str">
            <v>MLC Autopsy</v>
          </cell>
        </row>
        <row r="14">
          <cell r="B14" t="str">
            <v>MLC Autopsy</v>
          </cell>
        </row>
        <row r="15">
          <cell r="B15" t="str">
            <v>MLC Autopsy</v>
          </cell>
        </row>
        <row r="16">
          <cell r="B16" t="str">
            <v>MLC Autopsy</v>
          </cell>
        </row>
        <row r="17">
          <cell r="B17" t="str">
            <v>MLC Autopsy</v>
          </cell>
        </row>
        <row r="18">
          <cell r="B18" t="str">
            <v>MLC Autopsy</v>
          </cell>
        </row>
        <row r="19">
          <cell r="B19" t="str">
            <v>MLC Autopsy</v>
          </cell>
        </row>
        <row r="20">
          <cell r="B20" t="str">
            <v>MLC Autopsy</v>
          </cell>
        </row>
        <row r="21">
          <cell r="B21" t="str">
            <v>MLC Autopsy</v>
          </cell>
        </row>
        <row r="22">
          <cell r="B22" t="str">
            <v>MLC Autopsy</v>
          </cell>
        </row>
        <row r="23">
          <cell r="B23" t="str">
            <v>MLC Autopsy</v>
          </cell>
        </row>
        <row r="24">
          <cell r="B24" t="str">
            <v>MLC Autopsy</v>
          </cell>
        </row>
        <row r="25">
          <cell r="B25" t="str">
            <v>MLC Autopsy</v>
          </cell>
        </row>
        <row r="26">
          <cell r="B26" t="str">
            <v>MLC Autopsy</v>
          </cell>
        </row>
        <row r="27">
          <cell r="B27" t="str">
            <v>MLC Autopsy</v>
          </cell>
        </row>
        <row r="28">
          <cell r="B28" t="str">
            <v>MLC Autopsy</v>
          </cell>
        </row>
        <row r="29">
          <cell r="B29" t="str">
            <v>MLC Autopsy</v>
          </cell>
        </row>
        <row r="30">
          <cell r="B30" t="str">
            <v>MLC Autopsy</v>
          </cell>
        </row>
        <row r="31">
          <cell r="B31" t="str">
            <v>MLC Autopsy</v>
          </cell>
        </row>
        <row r="32">
          <cell r="B32" t="str">
            <v>MLC Autopsy</v>
          </cell>
        </row>
        <row r="33">
          <cell r="B33" t="str">
            <v>MLC Autopsy</v>
          </cell>
        </row>
        <row r="34">
          <cell r="B34" t="str">
            <v>MLC Autopsy</v>
          </cell>
        </row>
        <row r="35">
          <cell r="B35" t="str">
            <v>MLC Autopsy</v>
          </cell>
        </row>
        <row r="36">
          <cell r="B36" t="str">
            <v>MLC Autopsy</v>
          </cell>
        </row>
        <row r="37">
          <cell r="B37" t="str">
            <v>MLC Autopsy</v>
          </cell>
        </row>
        <row r="38">
          <cell r="B38" t="str">
            <v>MLC Autopsy</v>
          </cell>
        </row>
        <row r="39">
          <cell r="B39" t="str">
            <v>MLC Autopsy</v>
          </cell>
        </row>
        <row r="40">
          <cell r="B40" t="str">
            <v>MLC Autopsy</v>
          </cell>
        </row>
        <row r="41">
          <cell r="B41" t="str">
            <v>MLC Autopsy</v>
          </cell>
        </row>
        <row r="42">
          <cell r="B42" t="str">
            <v>MLC Autopsy</v>
          </cell>
        </row>
        <row r="43">
          <cell r="B43" t="str">
            <v>MLC Autopsy</v>
          </cell>
        </row>
        <row r="44">
          <cell r="B44" t="str">
            <v>MLC Autopsy</v>
          </cell>
        </row>
        <row r="45">
          <cell r="B45" t="str">
            <v>MLC Autopsy</v>
          </cell>
        </row>
        <row r="46">
          <cell r="B46" t="str">
            <v>MLC Autopsy</v>
          </cell>
        </row>
        <row r="47">
          <cell r="B47" t="str">
            <v>MLC Autopsy</v>
          </cell>
        </row>
        <row r="48">
          <cell r="B48" t="str">
            <v>MLC Autopsy</v>
          </cell>
        </row>
        <row r="49">
          <cell r="B49" t="str">
            <v>MLC Autopsy</v>
          </cell>
        </row>
        <row r="50">
          <cell r="B50" t="str">
            <v>MLC Autopsy</v>
          </cell>
        </row>
        <row r="51">
          <cell r="B51" t="str">
            <v>MLC Autopsy</v>
          </cell>
        </row>
        <row r="52">
          <cell r="B52" t="str">
            <v>MLC Autopsy</v>
          </cell>
        </row>
        <row r="53">
          <cell r="B53" t="str">
            <v>MLC Autopsy</v>
          </cell>
        </row>
        <row r="54">
          <cell r="B54" t="str">
            <v>MLC Autopsy</v>
          </cell>
        </row>
        <row r="55">
          <cell r="B55" t="str">
            <v>MLC Autopsy</v>
          </cell>
        </row>
        <row r="56">
          <cell r="B56" t="str">
            <v>MLC Autopsy</v>
          </cell>
        </row>
        <row r="57">
          <cell r="B57" t="str">
            <v>MLC Autopsy</v>
          </cell>
        </row>
        <row r="58">
          <cell r="B58" t="str">
            <v>MLC Autopsy</v>
          </cell>
        </row>
        <row r="59">
          <cell r="B59" t="str">
            <v>MLC Autopsy</v>
          </cell>
        </row>
        <row r="60">
          <cell r="B60" t="str">
            <v>MLC Autopsy</v>
          </cell>
        </row>
        <row r="61">
          <cell r="B61" t="str">
            <v>MLC Autopsy</v>
          </cell>
        </row>
        <row r="62">
          <cell r="B62" t="str">
            <v>MLC Autopsy</v>
          </cell>
        </row>
        <row r="63">
          <cell r="B63" t="str">
            <v>MLC Autopsy</v>
          </cell>
        </row>
        <row r="64">
          <cell r="B64" t="str">
            <v>MLC Autopsy</v>
          </cell>
        </row>
        <row r="65">
          <cell r="B65" t="str">
            <v>MLC Autopsy</v>
          </cell>
        </row>
        <row r="66">
          <cell r="B66" t="str">
            <v>MLC Autopsy</v>
          </cell>
        </row>
        <row r="67">
          <cell r="B67" t="str">
            <v>MLC Autopsy</v>
          </cell>
        </row>
        <row r="68">
          <cell r="B68" t="str">
            <v>MLC Autopsy</v>
          </cell>
        </row>
        <row r="69">
          <cell r="B69" t="str">
            <v>MLC Autopsy</v>
          </cell>
        </row>
        <row r="70">
          <cell r="B70" t="str">
            <v>MLC Autopsy</v>
          </cell>
        </row>
        <row r="71">
          <cell r="B71" t="str">
            <v>MLC Autopsy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+CIA"/>
      <sheetName val="Police Line"/>
      <sheetName val="Office"/>
      <sheetName val="Attach.. other"/>
      <sheetName val="N. Court etc"/>
      <sheetName val="Back Hand File"/>
      <sheetName val="abnormal"/>
      <sheetName val="Guard IOs"/>
      <sheetName val="Office IOs"/>
      <sheetName val="گوشوارہ (2)"/>
      <sheetName val="PS+CIA (2)"/>
      <sheetName val="High Threat"/>
      <sheetName val="Most Senior"/>
      <sheetName val="Police Station Figures"/>
      <sheetName val="combine given wise"/>
      <sheetName val="combine Taken wise"/>
      <sheetName val="Police Station Figures (2)"/>
      <sheetName val="Attach.. Kwl"/>
      <sheetName val="گوشوارہ"/>
      <sheetName val="Performa DPO"/>
      <sheetName val="SHO with figures"/>
      <sheetName val="SHO + Moharir"/>
      <sheetName val="Temp Hazri"/>
      <sheetName val="As per plan"/>
      <sheetName val="Police Line (2)"/>
      <sheetName val="Police Line (3)"/>
      <sheetName val="Moharir_ Naib Moharir"/>
      <sheetName val="BACK END"/>
      <sheetName val="Police Line (4)"/>
      <sheetName val="Moharir"/>
      <sheetName val="si and ip"/>
      <sheetName val="Transfer"/>
      <sheetName val="Police Stations figures"/>
      <sheetName val="Office (2)"/>
      <sheetName val="VSOs"/>
      <sheetName val="As per plan (2)"/>
      <sheetName val="VSOs (2)"/>
      <sheetName val="Police Line (5)"/>
      <sheetName val="feedback cell"/>
      <sheetName val="IOs"/>
      <sheetName val="Police Line (6)"/>
      <sheetName val="Police Line IOs"/>
      <sheetName val="Sheet5"/>
      <sheetName val="IOs (2)"/>
      <sheetName val="IOs (3)"/>
      <sheetName val="IOs (4)"/>
      <sheetName val="Moharir2024"/>
      <sheetName val="Police Station"/>
      <sheetName val="Office (3)"/>
      <sheetName val="Moharrir"/>
      <sheetName val="saddar kwl"/>
      <sheetName val="SHO+IO+Dvr"/>
      <sheetName val="DFC"/>
      <sheetName val="PS Jahanian"/>
      <sheetName val="Office (4)"/>
      <sheetName val="Problem Creator"/>
      <sheetName val="Bad Reputed"/>
      <sheetName val="Transfer_Posting"/>
      <sheetName val="Police Line (7)"/>
      <sheetName val="Office (5)"/>
      <sheetName val="VSOOOOO"/>
      <sheetName val="List of SHOs"/>
      <sheetName val="Guard Posting tenure list"/>
      <sheetName val="Police Line (8)"/>
      <sheetName val="PS Posting Tenure"/>
      <sheetName val="Police Line (9)"/>
      <sheetName val="PS"/>
      <sheetName val="Police Line (10)"/>
      <sheetName val="PS+CIA (3)"/>
      <sheetName val="PKMs"/>
      <sheetName val="Awaiting Moharir"/>
      <sheetName val="Moharir-202424"/>
      <sheetName val="PS Posting Tenure (Violation)"/>
      <sheetName val="office-2424"/>
      <sheetName val="Office (6)"/>
      <sheetName val="Police Line (12)"/>
      <sheetName val="Police Station figure"/>
      <sheetName val="Police Line (11)"/>
      <sheetName val="PS+CIA (4)"/>
      <sheetName val="Moharir-Interview"/>
      <sheetName val="Naib Moharir"/>
      <sheetName val="SHO"/>
      <sheetName val="Upper Office"/>
      <sheetName val="Guard Reserve Figure"/>
      <sheetName val="PS+CIA (5)"/>
      <sheetName val="Reesrve List"/>
      <sheetName val="already posted"/>
      <sheetName val="Reesrve List (2)"/>
      <sheetName val="Medical letter"/>
      <sheetName val="Lower Posting"/>
      <sheetName val="Lower Posting (2)"/>
      <sheetName val="I.Os for Postings"/>
      <sheetName val="PS+CIA (6)"/>
      <sheetName val="PS+CIA (7)"/>
      <sheetName val="I.Os Near Posting"/>
      <sheetName val="PS+CIA (8)"/>
      <sheetName val="Sheet1"/>
      <sheetName val="Guard (2)"/>
      <sheetName val="Guard (3)"/>
      <sheetName val="Guard (4)"/>
      <sheetName val="PS+CIA (9)"/>
      <sheetName val="PS+CIA (10)"/>
      <sheetName val="Police Line (13)"/>
      <sheetName val="PS+CIA (11)"/>
      <sheetName val="Office (7)"/>
      <sheetName val="Police Line (14)"/>
      <sheetName val="PS+CIA (12)"/>
      <sheetName val="PS+CIA (13)"/>
      <sheetName val="IO's"/>
      <sheetName val="Police Line (15)"/>
      <sheetName val="SSOIU"/>
      <sheetName val="RPOPOSED POSTING"/>
      <sheetName val="IO at PS on 10.10.24"/>
    </sheetNames>
    <sheetDataSet>
      <sheetData sheetId="0" refreshError="1">
        <row r="5">
          <cell r="E5" t="str">
            <v>Salman Shah</v>
          </cell>
          <cell r="F5">
            <v>24473</v>
          </cell>
          <cell r="G5">
            <v>31735</v>
          </cell>
          <cell r="H5" t="str">
            <v>Matric</v>
          </cell>
          <cell r="I5" t="str">
            <v>Jhang</v>
          </cell>
          <cell r="J5" t="str">
            <v>Jhang</v>
          </cell>
          <cell r="K5" t="str">
            <v>18 Hazari</v>
          </cell>
          <cell r="L5" t="str">
            <v>District Vehari</v>
          </cell>
          <cell r="M5">
            <v>45363</v>
          </cell>
          <cell r="N5" t="str">
            <v>PS Chab Kalan</v>
          </cell>
          <cell r="O5" t="str">
            <v>PS</v>
          </cell>
          <cell r="P5" t="str">
            <v>PS City Khanewal</v>
          </cell>
          <cell r="Q5" t="str">
            <v>Incharge Investigation</v>
          </cell>
          <cell r="R5">
            <v>45554</v>
          </cell>
        </row>
        <row r="6">
          <cell r="E6" t="str">
            <v>Rao Munawar Khan</v>
          </cell>
          <cell r="F6">
            <v>33246</v>
          </cell>
          <cell r="G6">
            <v>41871</v>
          </cell>
          <cell r="H6" t="str">
            <v>B.Sc</v>
          </cell>
          <cell r="I6" t="str">
            <v>Khanewal</v>
          </cell>
          <cell r="J6" t="str">
            <v>Kabirwala</v>
          </cell>
          <cell r="K6" t="str">
            <v>Saddar Kabirwala</v>
          </cell>
          <cell r="L6" t="str">
            <v>District Multan</v>
          </cell>
          <cell r="M6">
            <v>45296</v>
          </cell>
          <cell r="N6" t="str">
            <v>PS City Mian Channu</v>
          </cell>
          <cell r="O6" t="str">
            <v>PS</v>
          </cell>
          <cell r="P6" t="str">
            <v>PS City Khanewal</v>
          </cell>
          <cell r="Q6" t="str">
            <v>SHO</v>
          </cell>
          <cell r="R6">
            <v>45554</v>
          </cell>
        </row>
        <row r="7">
          <cell r="E7" t="str">
            <v>Riaz Hussain</v>
          </cell>
          <cell r="F7">
            <v>31402</v>
          </cell>
          <cell r="G7">
            <v>39823</v>
          </cell>
          <cell r="H7" t="str">
            <v>BA</v>
          </cell>
          <cell r="I7" t="str">
            <v>Khanewal</v>
          </cell>
          <cell r="J7" t="str">
            <v>Jahanian</v>
          </cell>
          <cell r="K7" t="str">
            <v>Jahanian</v>
          </cell>
          <cell r="L7" t="str">
            <v>RPO office Multan</v>
          </cell>
          <cell r="M7">
            <v>45161</v>
          </cell>
          <cell r="N7" t="str">
            <v>PS Sadar Mian Channu</v>
          </cell>
          <cell r="O7" t="str">
            <v>PS</v>
          </cell>
          <cell r="P7" t="str">
            <v>PS City Khanewal</v>
          </cell>
          <cell r="Q7" t="str">
            <v>Inv Staff</v>
          </cell>
          <cell r="R7">
            <v>45467</v>
          </cell>
        </row>
        <row r="8">
          <cell r="E8" t="str">
            <v>Nazir Hussain</v>
          </cell>
          <cell r="F8">
            <v>30446</v>
          </cell>
          <cell r="G8">
            <v>39244</v>
          </cell>
          <cell r="H8" t="str">
            <v>FA</v>
          </cell>
          <cell r="I8" t="str">
            <v>Khanewal</v>
          </cell>
          <cell r="J8" t="str">
            <v>Jahanian</v>
          </cell>
          <cell r="K8" t="str">
            <v>Thatha Sadiq abad</v>
          </cell>
          <cell r="L8" t="str">
            <v>PHP</v>
          </cell>
          <cell r="M8">
            <v>44907</v>
          </cell>
          <cell r="N8" t="str">
            <v>Police Line</v>
          </cell>
          <cell r="O8" t="str">
            <v>PS</v>
          </cell>
          <cell r="P8" t="str">
            <v>PS City Khanewal</v>
          </cell>
          <cell r="Q8" t="str">
            <v>Inv Staff</v>
          </cell>
          <cell r="R8">
            <v>45501</v>
          </cell>
        </row>
        <row r="9">
          <cell r="E9" t="str">
            <v>Muhammad Hassan</v>
          </cell>
          <cell r="F9">
            <v>30870</v>
          </cell>
          <cell r="G9">
            <v>38391</v>
          </cell>
          <cell r="H9" t="str">
            <v>MA</v>
          </cell>
          <cell r="I9" t="str">
            <v>Multan</v>
          </cell>
          <cell r="J9" t="str">
            <v>Multan</v>
          </cell>
          <cell r="K9" t="str">
            <v>Budhla Sant</v>
          </cell>
          <cell r="L9" t="str">
            <v>District Lodhran</v>
          </cell>
          <cell r="M9">
            <v>45288</v>
          </cell>
          <cell r="N9" t="str">
            <v>PS Sadar Khanewal</v>
          </cell>
          <cell r="O9" t="str">
            <v>PS</v>
          </cell>
          <cell r="P9" t="str">
            <v>PS City Khanewal</v>
          </cell>
          <cell r="Q9" t="str">
            <v>Inv Staff</v>
          </cell>
          <cell r="R9">
            <v>45572</v>
          </cell>
        </row>
        <row r="10">
          <cell r="E10" t="str">
            <v>Rab nawaz</v>
          </cell>
          <cell r="F10">
            <v>28543</v>
          </cell>
          <cell r="G10">
            <v>36188</v>
          </cell>
          <cell r="H10" t="str">
            <v>BA</v>
          </cell>
          <cell r="I10" t="str">
            <v>Khanewal</v>
          </cell>
          <cell r="J10" t="str">
            <v>Kabirwala</v>
          </cell>
          <cell r="K10" t="str">
            <v>Saddar Kabirwala</v>
          </cell>
          <cell r="L10" t="str">
            <v>RPO Office Multan</v>
          </cell>
          <cell r="M10">
            <v>45160</v>
          </cell>
          <cell r="N10" t="str">
            <v>Police Line</v>
          </cell>
          <cell r="O10" t="str">
            <v>PS</v>
          </cell>
          <cell r="P10" t="str">
            <v>PS City Khanewal</v>
          </cell>
          <cell r="Q10" t="str">
            <v>Inv Staff</v>
          </cell>
          <cell r="R10">
            <v>45161</v>
          </cell>
        </row>
        <row r="11">
          <cell r="E11" t="str">
            <v>Nazir Ahmad</v>
          </cell>
          <cell r="F11">
            <v>28493</v>
          </cell>
          <cell r="G11">
            <v>36182</v>
          </cell>
          <cell r="H11" t="str">
            <v>FA</v>
          </cell>
          <cell r="I11" t="str">
            <v>Khanewal</v>
          </cell>
          <cell r="J11" t="str">
            <v>Jahanian</v>
          </cell>
          <cell r="K11" t="str">
            <v>Jahanian</v>
          </cell>
          <cell r="L11" t="str">
            <v>Promoted</v>
          </cell>
          <cell r="M11">
            <v>44286</v>
          </cell>
          <cell r="N11" t="str">
            <v>Guard Katchehri Jahanian</v>
          </cell>
          <cell r="O11" t="str">
            <v>PS</v>
          </cell>
          <cell r="P11" t="str">
            <v>PS City Khanewal</v>
          </cell>
          <cell r="Q11" t="str">
            <v>Inv Staff</v>
          </cell>
          <cell r="R11">
            <v>45245</v>
          </cell>
        </row>
        <row r="12">
          <cell r="E12" t="str">
            <v>Ghulam Hussain</v>
          </cell>
          <cell r="F12">
            <v>28191</v>
          </cell>
          <cell r="G12">
            <v>37139</v>
          </cell>
          <cell r="H12" t="str">
            <v>MA</v>
          </cell>
          <cell r="I12" t="str">
            <v>Khanewal</v>
          </cell>
          <cell r="J12" t="str">
            <v>Kabirwala</v>
          </cell>
          <cell r="K12" t="str">
            <v>Adda 12 Meel</v>
          </cell>
          <cell r="L12">
            <v>0</v>
          </cell>
          <cell r="M12">
            <v>38964</v>
          </cell>
          <cell r="N12" t="str">
            <v>PS City Khanewal</v>
          </cell>
          <cell r="O12" t="str">
            <v>PS</v>
          </cell>
          <cell r="P12" t="str">
            <v>PS City Khanewal</v>
          </cell>
          <cell r="Q12" t="str">
            <v>Inv Staff</v>
          </cell>
          <cell r="R12">
            <v>45364</v>
          </cell>
        </row>
        <row r="13">
          <cell r="E13" t="str">
            <v>Ashiq Hussain</v>
          </cell>
          <cell r="F13">
            <v>27261</v>
          </cell>
          <cell r="G13">
            <v>34217</v>
          </cell>
          <cell r="H13" t="str">
            <v>Matric</v>
          </cell>
          <cell r="I13" t="str">
            <v>Khanewal</v>
          </cell>
          <cell r="J13" t="str">
            <v>Kabirwala</v>
          </cell>
          <cell r="K13" t="str">
            <v>Sadar Kabirwala</v>
          </cell>
          <cell r="L13" t="str">
            <v>PHP</v>
          </cell>
          <cell r="M13">
            <v>45492</v>
          </cell>
          <cell r="N13" t="str">
            <v>Police Line</v>
          </cell>
          <cell r="O13" t="str">
            <v>PS</v>
          </cell>
          <cell r="P13" t="str">
            <v>PS City Khanewal</v>
          </cell>
          <cell r="Q13" t="str">
            <v>Inv Staff</v>
          </cell>
          <cell r="R13">
            <v>45501</v>
          </cell>
        </row>
        <row r="14">
          <cell r="E14" t="str">
            <v xml:space="preserve"> Mehmood</v>
          </cell>
          <cell r="F14">
            <v>26002</v>
          </cell>
          <cell r="G14">
            <v>34048</v>
          </cell>
          <cell r="H14" t="str">
            <v>Matric</v>
          </cell>
          <cell r="I14" t="str">
            <v>Khanewal</v>
          </cell>
          <cell r="J14" t="str">
            <v>Mian Channu</v>
          </cell>
          <cell r="K14" t="str">
            <v>Chab Kalan</v>
          </cell>
          <cell r="L14" t="str">
            <v>Traffic Punjab Lahore</v>
          </cell>
          <cell r="M14">
            <v>45240</v>
          </cell>
          <cell r="N14" t="str">
            <v>PS Sadar Khanewal</v>
          </cell>
          <cell r="O14" t="str">
            <v>PS</v>
          </cell>
          <cell r="P14" t="str">
            <v>PS City Khanewal</v>
          </cell>
          <cell r="Q14" t="str">
            <v>Inv Staff</v>
          </cell>
          <cell r="R14">
            <v>45498</v>
          </cell>
        </row>
        <row r="15">
          <cell r="E15" t="str">
            <v>Muhammad Aslam</v>
          </cell>
          <cell r="F15">
            <v>26451</v>
          </cell>
          <cell r="G15">
            <v>34224</v>
          </cell>
          <cell r="H15" t="str">
            <v>FA</v>
          </cell>
          <cell r="I15" t="str">
            <v>Khanewal</v>
          </cell>
          <cell r="J15" t="str">
            <v>Kabirwala</v>
          </cell>
          <cell r="K15" t="str">
            <v>Sadar Kabirwala</v>
          </cell>
          <cell r="L15" t="str">
            <v>PC-3 Multan</v>
          </cell>
          <cell r="M15">
            <v>44224</v>
          </cell>
          <cell r="N15" t="str">
            <v>PS Khanewal Kohna</v>
          </cell>
          <cell r="O15" t="str">
            <v>PS</v>
          </cell>
          <cell r="P15" t="str">
            <v>PS City Khanewal</v>
          </cell>
          <cell r="Q15" t="str">
            <v>Inv Staff</v>
          </cell>
          <cell r="R15">
            <v>45498</v>
          </cell>
        </row>
        <row r="16">
          <cell r="E16" t="str">
            <v>Ali Muhammad</v>
          </cell>
          <cell r="F16">
            <v>28646</v>
          </cell>
          <cell r="G16">
            <v>36178</v>
          </cell>
          <cell r="H16" t="str">
            <v>FA</v>
          </cell>
          <cell r="I16" t="str">
            <v>Khanewal</v>
          </cell>
          <cell r="J16" t="str">
            <v>Mianchanu</v>
          </cell>
          <cell r="K16" t="str">
            <v>City Mianchanu</v>
          </cell>
          <cell r="L16" t="str">
            <v>PC-3 Multan</v>
          </cell>
          <cell r="M16">
            <v>45166</v>
          </cell>
          <cell r="N16" t="str">
            <v>Falcon Force Police Line</v>
          </cell>
          <cell r="O16" t="str">
            <v>PS</v>
          </cell>
          <cell r="P16" t="str">
            <v>PS City Khanewal</v>
          </cell>
          <cell r="Q16" t="str">
            <v>Inv Staff</v>
          </cell>
          <cell r="R16">
            <v>45498</v>
          </cell>
        </row>
        <row r="17">
          <cell r="E17" t="str">
            <v>Ahmad Din</v>
          </cell>
          <cell r="F17">
            <v>24838</v>
          </cell>
          <cell r="G17">
            <v>32810</v>
          </cell>
          <cell r="H17" t="str">
            <v>FA</v>
          </cell>
          <cell r="I17" t="str">
            <v>Khanewal</v>
          </cell>
          <cell r="J17" t="str">
            <v>Mian Channu</v>
          </cell>
          <cell r="K17" t="str">
            <v>City Mian Channu</v>
          </cell>
          <cell r="L17" t="str">
            <v>Multan</v>
          </cell>
          <cell r="M17">
            <v>33888</v>
          </cell>
          <cell r="N17" t="str">
            <v>PS Abdul Hakim</v>
          </cell>
          <cell r="O17" t="str">
            <v>PS</v>
          </cell>
          <cell r="P17" t="str">
            <v>PS City Khanewal</v>
          </cell>
          <cell r="Q17" t="str">
            <v>Inv Staff</v>
          </cell>
          <cell r="R17">
            <v>45572</v>
          </cell>
        </row>
        <row r="18">
          <cell r="E18" t="str">
            <v>Zulfiqar</v>
          </cell>
          <cell r="F18">
            <v>30473</v>
          </cell>
          <cell r="G18">
            <v>38875</v>
          </cell>
          <cell r="H18" t="str">
            <v>BA</v>
          </cell>
          <cell r="I18" t="str">
            <v>Khanewal</v>
          </cell>
          <cell r="J18" t="str">
            <v>Kabirwala</v>
          </cell>
          <cell r="K18" t="str">
            <v>Nawan Shehr</v>
          </cell>
          <cell r="L18" t="str">
            <v>PC-3 Multan</v>
          </cell>
          <cell r="M18">
            <v>44075</v>
          </cell>
          <cell r="N18" t="str">
            <v>PS Sarai Sidhu</v>
          </cell>
          <cell r="O18" t="str">
            <v>PS</v>
          </cell>
          <cell r="P18" t="str">
            <v>PS City Khanewal</v>
          </cell>
          <cell r="Q18" t="str">
            <v>Moharir</v>
          </cell>
          <cell r="R18">
            <v>45547</v>
          </cell>
        </row>
        <row r="19">
          <cell r="E19" t="str">
            <v>Haqnawaz Khan</v>
          </cell>
          <cell r="F19">
            <v>30058</v>
          </cell>
          <cell r="G19">
            <v>38875</v>
          </cell>
          <cell r="H19" t="str">
            <v>BA</v>
          </cell>
          <cell r="I19" t="str">
            <v>Khanewal</v>
          </cell>
          <cell r="J19" t="str">
            <v>Mian Channu</v>
          </cell>
          <cell r="K19" t="str">
            <v>Chab Kalan</v>
          </cell>
          <cell r="L19" t="str">
            <v xml:space="preserve">Training Branch </v>
          </cell>
          <cell r="M19">
            <v>44403</v>
          </cell>
          <cell r="N19" t="str">
            <v>Judicial Duty Police Line</v>
          </cell>
          <cell r="O19" t="str">
            <v>PS</v>
          </cell>
          <cell r="P19" t="str">
            <v>PS City Khanewal</v>
          </cell>
          <cell r="Q19" t="str">
            <v>G. Duty</v>
          </cell>
          <cell r="R19">
            <v>45197</v>
          </cell>
        </row>
        <row r="20">
          <cell r="E20" t="str">
            <v>Hassan Muhammad</v>
          </cell>
          <cell r="F20">
            <v>24537</v>
          </cell>
          <cell r="G20">
            <v>31116</v>
          </cell>
          <cell r="H20" t="str">
            <v>Under Matric</v>
          </cell>
          <cell r="I20" t="str">
            <v>Sahiwal</v>
          </cell>
          <cell r="J20" t="str">
            <v>Chicha watni</v>
          </cell>
          <cell r="K20" t="str">
            <v>Dera Rahim</v>
          </cell>
          <cell r="L20" t="str">
            <v>Multan</v>
          </cell>
          <cell r="M20">
            <v>31741</v>
          </cell>
          <cell r="N20" t="str">
            <v>CIA Staff Khanewal</v>
          </cell>
          <cell r="O20" t="str">
            <v>PS</v>
          </cell>
          <cell r="P20" t="str">
            <v>PS City Khanewal</v>
          </cell>
          <cell r="Q20" t="str">
            <v>G. Duty</v>
          </cell>
          <cell r="R20">
            <v>45454</v>
          </cell>
        </row>
        <row r="21">
          <cell r="E21" t="str">
            <v>Zahoor Abbas</v>
          </cell>
          <cell r="F21">
            <v>31168</v>
          </cell>
          <cell r="G21">
            <v>38918</v>
          </cell>
          <cell r="H21" t="str">
            <v>B.Sc</v>
          </cell>
          <cell r="I21" t="str">
            <v>Khanewal</v>
          </cell>
          <cell r="J21" t="str">
            <v>Mian Channu</v>
          </cell>
          <cell r="K21" t="str">
            <v>Chab Kalan</v>
          </cell>
          <cell r="L21" t="str">
            <v>PC-3, Multan</v>
          </cell>
          <cell r="M21">
            <v>44800</v>
          </cell>
          <cell r="N21" t="str">
            <v>Police Line</v>
          </cell>
          <cell r="O21" t="str">
            <v>PS</v>
          </cell>
          <cell r="P21" t="str">
            <v>PS City Khanewal</v>
          </cell>
          <cell r="Q21" t="str">
            <v>G. Duty</v>
          </cell>
          <cell r="R21">
            <v>45454</v>
          </cell>
        </row>
        <row r="22">
          <cell r="E22" t="str">
            <v>Ameer Bukhsh</v>
          </cell>
          <cell r="F22">
            <v>30290</v>
          </cell>
          <cell r="G22">
            <v>38918</v>
          </cell>
          <cell r="H22" t="str">
            <v>BA</v>
          </cell>
          <cell r="I22" t="str">
            <v>Khanewal</v>
          </cell>
          <cell r="J22" t="str">
            <v>Kabirwala</v>
          </cell>
          <cell r="K22" t="str">
            <v>Nawan Shehr</v>
          </cell>
          <cell r="L22">
            <v>0</v>
          </cell>
          <cell r="M22">
            <v>38918</v>
          </cell>
          <cell r="N22" t="str">
            <v>Police Line</v>
          </cell>
          <cell r="O22" t="str">
            <v>PS</v>
          </cell>
          <cell r="P22" t="str">
            <v>PS City Khanewal</v>
          </cell>
          <cell r="Q22" t="str">
            <v>G. Duty</v>
          </cell>
          <cell r="R22">
            <v>45523</v>
          </cell>
        </row>
        <row r="23">
          <cell r="E23" t="str">
            <v>Ghulam Muhammad</v>
          </cell>
          <cell r="F23">
            <v>30742</v>
          </cell>
          <cell r="G23">
            <v>38918</v>
          </cell>
          <cell r="H23" t="str">
            <v>BA</v>
          </cell>
          <cell r="I23" t="str">
            <v>Khanewal</v>
          </cell>
          <cell r="J23" t="str">
            <v>Kabirwala</v>
          </cell>
          <cell r="K23" t="str">
            <v>Sadar Kabirwala</v>
          </cell>
          <cell r="L23" t="str">
            <v>--</v>
          </cell>
          <cell r="M23">
            <v>38918</v>
          </cell>
          <cell r="N23" t="str">
            <v>PS Sadar Mian Channu</v>
          </cell>
          <cell r="O23" t="str">
            <v>PS</v>
          </cell>
          <cell r="P23" t="str">
            <v>PS City Khanewal</v>
          </cell>
          <cell r="Q23" t="str">
            <v>N/Moharir</v>
          </cell>
          <cell r="R23">
            <v>44690</v>
          </cell>
        </row>
        <row r="24">
          <cell r="E24" t="str">
            <v>Muhammad Afzal Khan</v>
          </cell>
          <cell r="F24">
            <v>31181</v>
          </cell>
          <cell r="G24">
            <v>38918</v>
          </cell>
          <cell r="H24" t="str">
            <v>Matric</v>
          </cell>
          <cell r="I24" t="str">
            <v>Khanewal</v>
          </cell>
          <cell r="J24" t="str">
            <v>Khanewal</v>
          </cell>
          <cell r="K24" t="str">
            <v>Khanewal Kohna</v>
          </cell>
          <cell r="L24" t="str">
            <v>Traffic Khanewal</v>
          </cell>
          <cell r="M24">
            <v>43927</v>
          </cell>
          <cell r="N24" t="str">
            <v>PS Sadar Khanewal</v>
          </cell>
          <cell r="O24" t="str">
            <v>PS</v>
          </cell>
          <cell r="P24" t="str">
            <v>PS City Khanewal</v>
          </cell>
          <cell r="Q24" t="str">
            <v>Security Duty</v>
          </cell>
          <cell r="R24">
            <v>44928</v>
          </cell>
        </row>
        <row r="25">
          <cell r="E25" t="str">
            <v>Muhammad Ramzan</v>
          </cell>
          <cell r="F25">
            <v>36223</v>
          </cell>
          <cell r="G25">
            <v>43223</v>
          </cell>
          <cell r="H25" t="str">
            <v>Matric</v>
          </cell>
          <cell r="I25" t="str">
            <v>Khanewal</v>
          </cell>
          <cell r="J25" t="str">
            <v>Khanewal</v>
          </cell>
          <cell r="K25" t="str">
            <v>Khanewal Kohna</v>
          </cell>
          <cell r="L25" t="str">
            <v>Newly Recruited</v>
          </cell>
          <cell r="M25">
            <v>43225</v>
          </cell>
          <cell r="N25" t="str">
            <v>PS Kacha Khuh</v>
          </cell>
          <cell r="O25" t="str">
            <v>PS</v>
          </cell>
          <cell r="P25" t="str">
            <v>PS City Khanewal</v>
          </cell>
          <cell r="Q25" t="str">
            <v>G. Duty</v>
          </cell>
          <cell r="R25">
            <v>45197</v>
          </cell>
        </row>
        <row r="26">
          <cell r="E26" t="str">
            <v>Zafar Hussain</v>
          </cell>
          <cell r="F26">
            <v>33397</v>
          </cell>
          <cell r="G26">
            <v>42193</v>
          </cell>
          <cell r="H26" t="str">
            <v>BA</v>
          </cell>
          <cell r="I26" t="str">
            <v>Khanewal</v>
          </cell>
          <cell r="J26" t="str">
            <v>Khanewal</v>
          </cell>
          <cell r="K26" t="str">
            <v>Sadar Khanewal</v>
          </cell>
          <cell r="L26" t="str">
            <v xml:space="preserve">CTD </v>
          </cell>
          <cell r="M26">
            <v>43783</v>
          </cell>
          <cell r="N26" t="str">
            <v>Police Line Khanewal</v>
          </cell>
          <cell r="O26" t="str">
            <v>PS</v>
          </cell>
          <cell r="P26" t="str">
            <v>PS City Khanewal</v>
          </cell>
          <cell r="Q26" t="str">
            <v>G. Duty</v>
          </cell>
          <cell r="R26">
            <v>45240</v>
          </cell>
        </row>
        <row r="27">
          <cell r="E27" t="str">
            <v>Shahid Manzor</v>
          </cell>
          <cell r="F27">
            <v>35789</v>
          </cell>
          <cell r="G27">
            <v>43806</v>
          </cell>
          <cell r="H27" t="str">
            <v>Matric</v>
          </cell>
          <cell r="I27" t="str">
            <v>Khanewal</v>
          </cell>
          <cell r="J27" t="str">
            <v>Khanewal</v>
          </cell>
          <cell r="K27" t="str">
            <v>Sadar Khanewal</v>
          </cell>
          <cell r="L27" t="str">
            <v>Punjab Constabulary</v>
          </cell>
          <cell r="M27">
            <v>45301</v>
          </cell>
          <cell r="N27" t="str">
            <v>Police Line</v>
          </cell>
          <cell r="O27" t="str">
            <v>PS</v>
          </cell>
          <cell r="P27" t="str">
            <v>PS City Khanewal</v>
          </cell>
          <cell r="Q27" t="str">
            <v>G. Duty</v>
          </cell>
          <cell r="R27">
            <v>45315</v>
          </cell>
        </row>
        <row r="28">
          <cell r="E28" t="str">
            <v>Muhammad Hanif</v>
          </cell>
          <cell r="F28">
            <v>30537</v>
          </cell>
          <cell r="G28">
            <v>39386</v>
          </cell>
          <cell r="H28" t="str">
            <v>Matric</v>
          </cell>
          <cell r="I28" t="str">
            <v>Khanewal</v>
          </cell>
          <cell r="J28" t="str">
            <v>Kabirwala</v>
          </cell>
          <cell r="K28" t="str">
            <v>Sadar Kabirwala</v>
          </cell>
          <cell r="L28" t="str">
            <v>District Lahore</v>
          </cell>
          <cell r="M28">
            <v>44706</v>
          </cell>
          <cell r="N28" t="str">
            <v>PS City Kabirwala</v>
          </cell>
          <cell r="O28" t="str">
            <v>PS</v>
          </cell>
          <cell r="P28" t="str">
            <v>PS City Khanewal</v>
          </cell>
          <cell r="Q28" t="str">
            <v>G. Duty</v>
          </cell>
          <cell r="R28">
            <v>45454</v>
          </cell>
        </row>
        <row r="29">
          <cell r="E29" t="str">
            <v>Muhammad Amin</v>
          </cell>
          <cell r="F29">
            <v>35540</v>
          </cell>
          <cell r="G29">
            <v>43806</v>
          </cell>
          <cell r="H29" t="str">
            <v>Matric</v>
          </cell>
          <cell r="I29" t="str">
            <v>Khanewal</v>
          </cell>
          <cell r="J29" t="str">
            <v>Jahanian</v>
          </cell>
          <cell r="K29" t="str">
            <v>Jahanian</v>
          </cell>
          <cell r="L29" t="str">
            <v>Punjab Constabulary</v>
          </cell>
          <cell r="M29">
            <v>45406</v>
          </cell>
          <cell r="N29" t="str">
            <v>Police Line</v>
          </cell>
          <cell r="O29" t="str">
            <v>PS</v>
          </cell>
          <cell r="P29" t="str">
            <v>PS City Khanewal</v>
          </cell>
          <cell r="Q29" t="str">
            <v>G. Duty</v>
          </cell>
          <cell r="R29">
            <v>45454</v>
          </cell>
        </row>
        <row r="30">
          <cell r="E30" t="str">
            <v>Muhammad Afzal</v>
          </cell>
          <cell r="F30">
            <v>35962</v>
          </cell>
          <cell r="G30">
            <v>43806</v>
          </cell>
          <cell r="H30" t="str">
            <v>Matric</v>
          </cell>
          <cell r="I30" t="str">
            <v>Khanewal</v>
          </cell>
          <cell r="J30" t="str">
            <v>Jahanian</v>
          </cell>
          <cell r="K30" t="str">
            <v>Jahanian</v>
          </cell>
          <cell r="L30" t="str">
            <v>Punjab Constabulary</v>
          </cell>
          <cell r="M30">
            <v>45356</v>
          </cell>
          <cell r="N30" t="str">
            <v>Police Line</v>
          </cell>
          <cell r="O30" t="str">
            <v>PS</v>
          </cell>
          <cell r="P30" t="str">
            <v>PS City Khanewal</v>
          </cell>
          <cell r="Q30" t="str">
            <v>G. Duty</v>
          </cell>
          <cell r="R30">
            <v>45454</v>
          </cell>
        </row>
        <row r="31">
          <cell r="E31" t="str">
            <v xml:space="preserve">Mushtaq Ahmad </v>
          </cell>
          <cell r="F31">
            <v>33836</v>
          </cell>
          <cell r="G31">
            <v>41930</v>
          </cell>
          <cell r="H31" t="str">
            <v>Matric</v>
          </cell>
          <cell r="I31" t="str">
            <v>Multan</v>
          </cell>
          <cell r="J31" t="str">
            <v>Multan</v>
          </cell>
          <cell r="K31" t="str">
            <v>Budhla Sant</v>
          </cell>
          <cell r="L31" t="str">
            <v>PC-3 Multan</v>
          </cell>
          <cell r="M31">
            <v>44107</v>
          </cell>
          <cell r="N31" t="str">
            <v>PS Jahanian</v>
          </cell>
          <cell r="O31" t="str">
            <v>PS</v>
          </cell>
          <cell r="P31" t="str">
            <v>PS City Khanewal</v>
          </cell>
          <cell r="Q31" t="str">
            <v>G. Duty</v>
          </cell>
          <cell r="R31">
            <v>45454</v>
          </cell>
        </row>
        <row r="32">
          <cell r="E32" t="str">
            <v>Rab nawaz</v>
          </cell>
          <cell r="F32">
            <v>35018</v>
          </cell>
          <cell r="G32">
            <v>43223</v>
          </cell>
          <cell r="H32" t="str">
            <v>Matric</v>
          </cell>
          <cell r="I32" t="str">
            <v>Khanewal</v>
          </cell>
          <cell r="J32" t="str">
            <v>Kabirwala</v>
          </cell>
          <cell r="K32" t="str">
            <v>Saddar Kabirwala</v>
          </cell>
          <cell r="L32" t="str">
            <v>Newly Recruited</v>
          </cell>
          <cell r="M32">
            <v>43225</v>
          </cell>
          <cell r="N32" t="str">
            <v>PS Makhdoom Pur</v>
          </cell>
          <cell r="O32" t="str">
            <v>PS</v>
          </cell>
          <cell r="P32" t="str">
            <v>PS City Khanewal</v>
          </cell>
          <cell r="Q32" t="str">
            <v>G. Duty</v>
          </cell>
          <cell r="R32">
            <v>45454</v>
          </cell>
        </row>
        <row r="33">
          <cell r="E33" t="str">
            <v>Muhammad Ramzan</v>
          </cell>
          <cell r="F33">
            <v>35492</v>
          </cell>
          <cell r="G33">
            <v>43806</v>
          </cell>
          <cell r="H33" t="str">
            <v>B.Sc</v>
          </cell>
          <cell r="I33" t="str">
            <v>Khanewal</v>
          </cell>
          <cell r="J33" t="str">
            <v>Jahanian</v>
          </cell>
          <cell r="K33" t="str">
            <v>Thatha Sadiqabad</v>
          </cell>
          <cell r="L33" t="str">
            <v>Punjab Constabulary</v>
          </cell>
          <cell r="M33">
            <v>45406</v>
          </cell>
          <cell r="N33" t="str">
            <v>Police Line</v>
          </cell>
          <cell r="O33" t="str">
            <v>PS</v>
          </cell>
          <cell r="P33" t="str">
            <v>PS City Khanewal</v>
          </cell>
          <cell r="Q33" t="str">
            <v>G. Duty</v>
          </cell>
          <cell r="R33">
            <v>45454</v>
          </cell>
        </row>
        <row r="34">
          <cell r="E34" t="str">
            <v>Muhammad Naseeb</v>
          </cell>
          <cell r="F34">
            <v>31848</v>
          </cell>
          <cell r="G34">
            <v>39910</v>
          </cell>
          <cell r="H34" t="str">
            <v>BA</v>
          </cell>
          <cell r="I34" t="str">
            <v>Khanewal</v>
          </cell>
          <cell r="J34" t="str">
            <v>Kabirwala</v>
          </cell>
          <cell r="K34" t="str">
            <v>Adda 12 Meel</v>
          </cell>
          <cell r="L34" t="str">
            <v>PC-3 Multan</v>
          </cell>
          <cell r="M34">
            <v>44757</v>
          </cell>
          <cell r="N34" t="str">
            <v>PS Makhdoom Pur</v>
          </cell>
          <cell r="O34" t="str">
            <v>PS</v>
          </cell>
          <cell r="P34" t="str">
            <v>PS City Khanewal</v>
          </cell>
          <cell r="Q34" t="str">
            <v>G. Duty</v>
          </cell>
          <cell r="R34">
            <v>45454</v>
          </cell>
        </row>
        <row r="35">
          <cell r="E35" t="str">
            <v>Bashir Ahmad</v>
          </cell>
          <cell r="F35">
            <v>31424</v>
          </cell>
          <cell r="G35">
            <v>40309</v>
          </cell>
          <cell r="H35" t="str">
            <v>FA</v>
          </cell>
          <cell r="I35" t="str">
            <v>Khanewal</v>
          </cell>
          <cell r="J35" t="str">
            <v>Jehanian</v>
          </cell>
          <cell r="K35" t="str">
            <v>Thatha Sadiqabad</v>
          </cell>
          <cell r="L35" t="str">
            <v>--</v>
          </cell>
          <cell r="M35">
            <v>40309</v>
          </cell>
          <cell r="N35" t="str">
            <v>PS Jahanian</v>
          </cell>
          <cell r="O35" t="str">
            <v>PS</v>
          </cell>
          <cell r="P35" t="str">
            <v>PS City Khanewal</v>
          </cell>
          <cell r="Q35" t="str">
            <v>G. Duty</v>
          </cell>
          <cell r="R35">
            <v>45454</v>
          </cell>
        </row>
        <row r="36">
          <cell r="E36" t="str">
            <v>Shoukat Ali</v>
          </cell>
          <cell r="F36">
            <v>34385</v>
          </cell>
          <cell r="G36">
            <v>42193</v>
          </cell>
          <cell r="H36" t="str">
            <v>BA</v>
          </cell>
          <cell r="I36" t="str">
            <v>Khanewal</v>
          </cell>
          <cell r="J36" t="str">
            <v>Kabirwala</v>
          </cell>
          <cell r="K36" t="str">
            <v>Adda 12 Meel</v>
          </cell>
          <cell r="L36" t="str">
            <v>PC-3 Multan</v>
          </cell>
          <cell r="M36">
            <v>44977</v>
          </cell>
          <cell r="N36" t="str">
            <v>Police Line</v>
          </cell>
          <cell r="O36" t="str">
            <v>PS</v>
          </cell>
          <cell r="P36" t="str">
            <v>PS City Khanewal</v>
          </cell>
          <cell r="Q36" t="str">
            <v>G. Duty</v>
          </cell>
          <cell r="R36">
            <v>45454</v>
          </cell>
        </row>
        <row r="37">
          <cell r="E37" t="str">
            <v>Abdul Razzaq</v>
          </cell>
          <cell r="F37">
            <v>33501</v>
          </cell>
          <cell r="G37">
            <v>42193</v>
          </cell>
          <cell r="H37" t="str">
            <v>I.Com</v>
          </cell>
          <cell r="I37" t="str">
            <v>Khanewal</v>
          </cell>
          <cell r="J37" t="str">
            <v>Khanewal</v>
          </cell>
          <cell r="K37" t="str">
            <v>Makhdoom Pur</v>
          </cell>
          <cell r="L37" t="str">
            <v>CTD</v>
          </cell>
          <cell r="M37">
            <v>44337</v>
          </cell>
          <cell r="N37" t="str">
            <v>Judicial Duty Police Line</v>
          </cell>
          <cell r="O37" t="str">
            <v>PS</v>
          </cell>
          <cell r="P37" t="str">
            <v>PS City Khanewal</v>
          </cell>
          <cell r="Q37" t="str">
            <v>G. Duty</v>
          </cell>
          <cell r="R37">
            <v>45454</v>
          </cell>
        </row>
        <row r="38">
          <cell r="E38" t="str">
            <v>Haji Muhammad Akbar</v>
          </cell>
          <cell r="F38">
            <v>29952</v>
          </cell>
          <cell r="G38">
            <v>38918</v>
          </cell>
          <cell r="H38" t="str">
            <v>BA</v>
          </cell>
          <cell r="I38" t="str">
            <v>Khanewal</v>
          </cell>
          <cell r="J38" t="str">
            <v>Kabirwala</v>
          </cell>
          <cell r="K38" t="str">
            <v>Sadar Kabirwala</v>
          </cell>
          <cell r="L38" t="str">
            <v>--</v>
          </cell>
          <cell r="M38">
            <v>38912</v>
          </cell>
          <cell r="N38" t="str">
            <v>PS City Kabirwala</v>
          </cell>
          <cell r="O38" t="str">
            <v>PS</v>
          </cell>
          <cell r="P38" t="str">
            <v>PS City Khanewal</v>
          </cell>
          <cell r="Q38" t="str">
            <v>G. Duty</v>
          </cell>
          <cell r="R38">
            <v>45454</v>
          </cell>
        </row>
        <row r="39">
          <cell r="E39" t="str">
            <v>Muhammad Akhtar</v>
          </cell>
          <cell r="F39">
            <v>34403</v>
          </cell>
          <cell r="G39">
            <v>42193</v>
          </cell>
          <cell r="H39" t="str">
            <v>BA</v>
          </cell>
          <cell r="I39" t="str">
            <v>Khanewal</v>
          </cell>
          <cell r="J39" t="str">
            <v>Kabirwala</v>
          </cell>
          <cell r="K39" t="str">
            <v>Sarai Sidhu</v>
          </cell>
          <cell r="L39" t="str">
            <v>CTD Multan</v>
          </cell>
          <cell r="M39">
            <v>44306</v>
          </cell>
          <cell r="N39" t="str">
            <v>Police Line</v>
          </cell>
          <cell r="O39" t="str">
            <v>PS</v>
          </cell>
          <cell r="P39" t="str">
            <v>PS City Khanewal</v>
          </cell>
          <cell r="Q39" t="str">
            <v>G. Duty</v>
          </cell>
          <cell r="R39">
            <v>45454</v>
          </cell>
        </row>
        <row r="40">
          <cell r="E40" t="str">
            <v>Muhammad Bakhsh</v>
          </cell>
          <cell r="F40">
            <v>32126</v>
          </cell>
          <cell r="G40">
            <v>40808</v>
          </cell>
          <cell r="H40" t="str">
            <v>FA</v>
          </cell>
          <cell r="I40" t="str">
            <v>Khanewal</v>
          </cell>
          <cell r="J40" t="str">
            <v>Mian Channu</v>
          </cell>
          <cell r="K40" t="str">
            <v>Chab Kalan</v>
          </cell>
          <cell r="L40" t="str">
            <v>PC-3</v>
          </cell>
          <cell r="M40">
            <v>44155</v>
          </cell>
          <cell r="N40" t="str">
            <v>CIA Staff Khanewal</v>
          </cell>
          <cell r="O40" t="str">
            <v>PS</v>
          </cell>
          <cell r="P40" t="str">
            <v>PS City Khanewal</v>
          </cell>
          <cell r="Q40" t="str">
            <v>G. Duty</v>
          </cell>
          <cell r="R40">
            <v>45467</v>
          </cell>
        </row>
        <row r="41">
          <cell r="E41" t="str">
            <v>Ameer Muhammad</v>
          </cell>
          <cell r="F41">
            <v>33953</v>
          </cell>
          <cell r="G41">
            <v>42116</v>
          </cell>
          <cell r="H41" t="str">
            <v>BA</v>
          </cell>
          <cell r="I41" t="str">
            <v>Khanewal</v>
          </cell>
          <cell r="J41" t="str">
            <v>Mian Channu</v>
          </cell>
          <cell r="K41" t="str">
            <v>Sadar Mian Channu</v>
          </cell>
          <cell r="L41" t="str">
            <v>PC-3</v>
          </cell>
          <cell r="M41">
            <v>43257</v>
          </cell>
          <cell r="N41" t="str">
            <v>CIA Staff Khanewal</v>
          </cell>
          <cell r="O41" t="str">
            <v>PS</v>
          </cell>
          <cell r="P41" t="str">
            <v>PS City Khanewal</v>
          </cell>
          <cell r="Q41" t="str">
            <v>G. Duty</v>
          </cell>
          <cell r="R41">
            <v>45467</v>
          </cell>
        </row>
        <row r="42">
          <cell r="E42" t="str">
            <v>Ghulam Shabbir</v>
          </cell>
          <cell r="F42">
            <v>36154</v>
          </cell>
          <cell r="G42">
            <v>43806</v>
          </cell>
          <cell r="H42" t="str">
            <v>F.Sc</v>
          </cell>
          <cell r="I42" t="str">
            <v>Khanewal</v>
          </cell>
          <cell r="J42" t="str">
            <v>Khanewal</v>
          </cell>
          <cell r="K42" t="str">
            <v>Khanewal Kohna</v>
          </cell>
          <cell r="L42" t="str">
            <v>Punjab Constabulary</v>
          </cell>
          <cell r="M42">
            <v>45356</v>
          </cell>
          <cell r="N42" t="str">
            <v>PS Jahanian</v>
          </cell>
          <cell r="O42" t="str">
            <v>PS</v>
          </cell>
          <cell r="P42" t="str">
            <v>PS City Khanewal</v>
          </cell>
          <cell r="Q42" t="str">
            <v>G. Duty</v>
          </cell>
          <cell r="R42">
            <v>45514</v>
          </cell>
        </row>
        <row r="43">
          <cell r="E43" t="str">
            <v>Muhammad Bakhsh</v>
          </cell>
          <cell r="F43">
            <v>31809</v>
          </cell>
          <cell r="G43">
            <v>40308</v>
          </cell>
          <cell r="H43" t="str">
            <v>FA</v>
          </cell>
          <cell r="I43" t="str">
            <v>Khanewal</v>
          </cell>
          <cell r="J43" t="str">
            <v>Khanewal</v>
          </cell>
          <cell r="K43" t="str">
            <v>Kacha Khuh</v>
          </cell>
          <cell r="L43" t="str">
            <v>Traffic Staff</v>
          </cell>
          <cell r="M43">
            <v>45171</v>
          </cell>
          <cell r="N43" t="str">
            <v>Second Reserve Police Line</v>
          </cell>
          <cell r="O43" t="str">
            <v>PS</v>
          </cell>
          <cell r="P43" t="str">
            <v>PS City Khanewal</v>
          </cell>
          <cell r="Q43" t="str">
            <v>G. Duty</v>
          </cell>
          <cell r="R43">
            <v>45523</v>
          </cell>
        </row>
        <row r="44">
          <cell r="E44" t="str">
            <v>M. Aslam</v>
          </cell>
          <cell r="F44">
            <v>33636</v>
          </cell>
          <cell r="G44">
            <v>42116</v>
          </cell>
          <cell r="H44" t="str">
            <v>BA</v>
          </cell>
          <cell r="I44" t="str">
            <v>Khanewal</v>
          </cell>
          <cell r="J44" t="str">
            <v>Mian Channu</v>
          </cell>
          <cell r="K44" t="str">
            <v>Sadar Mian Channu</v>
          </cell>
          <cell r="L44" t="str">
            <v>PC-4</v>
          </cell>
          <cell r="M44">
            <v>43255</v>
          </cell>
          <cell r="N44" t="str">
            <v>Police Line</v>
          </cell>
          <cell r="O44" t="str">
            <v>PS</v>
          </cell>
          <cell r="P44" t="str">
            <v>PS City Khanewal</v>
          </cell>
          <cell r="Q44" t="str">
            <v>G. Duty</v>
          </cell>
          <cell r="R44">
            <v>45523</v>
          </cell>
        </row>
        <row r="45">
          <cell r="E45" t="str">
            <v>Muhammad Aslam</v>
          </cell>
          <cell r="F45">
            <v>31938</v>
          </cell>
          <cell r="G45">
            <v>40543</v>
          </cell>
          <cell r="H45" t="str">
            <v>BA</v>
          </cell>
          <cell r="I45" t="str">
            <v>Khanewal</v>
          </cell>
          <cell r="J45" t="str">
            <v>Mian Channu</v>
          </cell>
          <cell r="K45" t="str">
            <v>Chab Kalan</v>
          </cell>
          <cell r="L45" t="str">
            <v>--</v>
          </cell>
          <cell r="M45">
            <v>40543</v>
          </cell>
          <cell r="N45" t="str">
            <v>PS Kacha Khuh</v>
          </cell>
          <cell r="O45" t="str">
            <v>PS</v>
          </cell>
          <cell r="P45" t="str">
            <v>PS City Khanewal</v>
          </cell>
          <cell r="Q45" t="str">
            <v>G. Duty</v>
          </cell>
          <cell r="R45">
            <v>45533</v>
          </cell>
        </row>
        <row r="46">
          <cell r="E46" t="str">
            <v>Muhammad Hanif</v>
          </cell>
          <cell r="F46">
            <v>36197</v>
          </cell>
          <cell r="G46">
            <v>43806</v>
          </cell>
          <cell r="H46" t="str">
            <v>F.A</v>
          </cell>
          <cell r="I46" t="str">
            <v>Khanewal</v>
          </cell>
          <cell r="J46" t="str">
            <v>Khanewal</v>
          </cell>
          <cell r="K46" t="str">
            <v>Khanewal Kohna</v>
          </cell>
          <cell r="L46" t="str">
            <v>Newly recruited</v>
          </cell>
          <cell r="M46">
            <v>43806</v>
          </cell>
          <cell r="N46" t="str">
            <v>PS Sarai Sidhu</v>
          </cell>
          <cell r="O46" t="str">
            <v>PS</v>
          </cell>
          <cell r="P46" t="str">
            <v>PS City Khanewal</v>
          </cell>
          <cell r="Q46" t="str">
            <v>G. Duty</v>
          </cell>
          <cell r="R46">
            <v>45533</v>
          </cell>
        </row>
        <row r="47">
          <cell r="E47" t="str">
            <v>Noor Zaman Khan</v>
          </cell>
          <cell r="F47">
            <v>26648</v>
          </cell>
          <cell r="G47">
            <v>42612</v>
          </cell>
          <cell r="H47" t="str">
            <v>Matric</v>
          </cell>
          <cell r="I47" t="str">
            <v>Khanewal</v>
          </cell>
          <cell r="J47" t="str">
            <v>Khanewal</v>
          </cell>
          <cell r="K47" t="str">
            <v>Sadar Khanewal</v>
          </cell>
          <cell r="L47" t="str">
            <v>Lahore</v>
          </cell>
          <cell r="M47">
            <v>42682</v>
          </cell>
          <cell r="N47" t="str">
            <v>PS Thatha Sadiqabad</v>
          </cell>
          <cell r="O47" t="str">
            <v>PS</v>
          </cell>
          <cell r="P47" t="str">
            <v>PS City Khanewal</v>
          </cell>
          <cell r="Q47" t="str">
            <v>G.Duty</v>
          </cell>
          <cell r="R47">
            <v>45533</v>
          </cell>
        </row>
        <row r="48">
          <cell r="E48" t="str">
            <v>Muhammad Farooq</v>
          </cell>
          <cell r="F48">
            <v>36568</v>
          </cell>
          <cell r="G48">
            <v>43806</v>
          </cell>
          <cell r="H48" t="str">
            <v>Matric</v>
          </cell>
          <cell r="I48" t="str">
            <v>Khanewal</v>
          </cell>
          <cell r="J48" t="str">
            <v>Jahanian</v>
          </cell>
          <cell r="K48" t="str">
            <v>Jahanian</v>
          </cell>
          <cell r="L48" t="str">
            <v>Newly recruited</v>
          </cell>
          <cell r="M48">
            <v>43806</v>
          </cell>
          <cell r="N48" t="str">
            <v>PS Nawan Sheher</v>
          </cell>
          <cell r="O48" t="str">
            <v>PS</v>
          </cell>
          <cell r="P48" t="str">
            <v>PS City Khanewal</v>
          </cell>
          <cell r="Q48" t="str">
            <v>G. Duty</v>
          </cell>
          <cell r="R48">
            <v>45533</v>
          </cell>
        </row>
        <row r="49">
          <cell r="E49" t="str">
            <v>Khizar Hayat</v>
          </cell>
          <cell r="F49">
            <v>33853</v>
          </cell>
          <cell r="G49">
            <v>40681</v>
          </cell>
          <cell r="H49" t="str">
            <v>FA</v>
          </cell>
          <cell r="I49" t="str">
            <v>Khanewal</v>
          </cell>
          <cell r="J49" t="str">
            <v>Kabirwala</v>
          </cell>
          <cell r="K49" t="str">
            <v>Abdul hakeem</v>
          </cell>
          <cell r="L49" t="str">
            <v>PC-3 Multan</v>
          </cell>
          <cell r="M49">
            <v>44477</v>
          </cell>
          <cell r="N49" t="str">
            <v>Guard Judicial Rest House Khanewal</v>
          </cell>
          <cell r="O49" t="str">
            <v>PS</v>
          </cell>
          <cell r="P49" t="str">
            <v>PS City Khanewal</v>
          </cell>
          <cell r="Q49" t="str">
            <v>G. Duty</v>
          </cell>
          <cell r="R49">
            <v>45548</v>
          </cell>
        </row>
        <row r="50">
          <cell r="E50" t="str">
            <v>Shoban</v>
          </cell>
          <cell r="F50">
            <v>32131</v>
          </cell>
          <cell r="G50">
            <v>40543</v>
          </cell>
          <cell r="H50" t="str">
            <v>Matric</v>
          </cell>
          <cell r="I50" t="str">
            <v>Khanewal</v>
          </cell>
          <cell r="J50" t="str">
            <v>Khanewal</v>
          </cell>
          <cell r="K50" t="str">
            <v>Khanewal Khona</v>
          </cell>
          <cell r="L50" t="str">
            <v>--</v>
          </cell>
          <cell r="M50">
            <v>40543</v>
          </cell>
          <cell r="N50" t="str">
            <v>PS City Kabirwala</v>
          </cell>
          <cell r="O50" t="str">
            <v>PS</v>
          </cell>
          <cell r="P50" t="str">
            <v>PS City Khanewal</v>
          </cell>
          <cell r="Q50" t="str">
            <v>G. Duty</v>
          </cell>
          <cell r="R50">
            <v>45558</v>
          </cell>
        </row>
        <row r="51">
          <cell r="E51" t="str">
            <v>M. Rafique</v>
          </cell>
          <cell r="F51">
            <v>34090</v>
          </cell>
          <cell r="G51">
            <v>42116</v>
          </cell>
          <cell r="H51" t="str">
            <v>BA</v>
          </cell>
          <cell r="I51" t="str">
            <v>Khanewal</v>
          </cell>
          <cell r="J51" t="str">
            <v>Jahanian</v>
          </cell>
          <cell r="K51" t="str">
            <v>Jahanian</v>
          </cell>
          <cell r="L51" t="str">
            <v>PC-3</v>
          </cell>
          <cell r="M51">
            <v>43263</v>
          </cell>
          <cell r="N51" t="str">
            <v>PS City Kabirwala</v>
          </cell>
          <cell r="O51" t="str">
            <v>PS</v>
          </cell>
          <cell r="P51" t="str">
            <v>PS City Khanewal</v>
          </cell>
          <cell r="Q51" t="str">
            <v>G. Duty</v>
          </cell>
          <cell r="R51">
            <v>45565</v>
          </cell>
        </row>
        <row r="52">
          <cell r="E52" t="str">
            <v>Mukhtar Ahmad</v>
          </cell>
          <cell r="F52">
            <v>28130</v>
          </cell>
          <cell r="G52">
            <v>37121</v>
          </cell>
          <cell r="H52" t="str">
            <v>BA</v>
          </cell>
          <cell r="I52" t="str">
            <v>Khanewal</v>
          </cell>
          <cell r="J52" t="str">
            <v>Khanewal</v>
          </cell>
          <cell r="K52" t="str">
            <v>Makhdom pur</v>
          </cell>
          <cell r="L52" t="str">
            <v>Multan</v>
          </cell>
          <cell r="M52">
            <v>39158</v>
          </cell>
          <cell r="N52" t="str">
            <v>PS Sadar Kabirwala</v>
          </cell>
          <cell r="O52" t="str">
            <v>PS</v>
          </cell>
          <cell r="P52" t="str">
            <v>PS City Khanewal</v>
          </cell>
          <cell r="Q52" t="str">
            <v>G. Duty</v>
          </cell>
          <cell r="R52">
            <v>45498</v>
          </cell>
        </row>
        <row r="53">
          <cell r="E53" t="str">
            <v>Bashir Ahmad</v>
          </cell>
          <cell r="F53">
            <v>31031</v>
          </cell>
          <cell r="G53">
            <v>38315</v>
          </cell>
          <cell r="H53" t="str">
            <v>Matric</v>
          </cell>
          <cell r="I53" t="str">
            <v>Khanewal</v>
          </cell>
          <cell r="J53" t="str">
            <v>Kabirwala</v>
          </cell>
          <cell r="K53" t="str">
            <v>City Kabirwala</v>
          </cell>
          <cell r="L53">
            <v>0</v>
          </cell>
          <cell r="M53">
            <v>38315</v>
          </cell>
          <cell r="N53" t="str">
            <v>PS Sarai Sidhu</v>
          </cell>
          <cell r="O53" t="str">
            <v>PS</v>
          </cell>
          <cell r="P53" t="str">
            <v>PS City Khanewal</v>
          </cell>
          <cell r="Q53" t="str">
            <v>G. Duty</v>
          </cell>
          <cell r="R53">
            <v>45498</v>
          </cell>
        </row>
        <row r="54">
          <cell r="E54" t="str">
            <v xml:space="preserve">Riaz Hussain </v>
          </cell>
          <cell r="F54">
            <v>32782</v>
          </cell>
          <cell r="G54">
            <v>41684</v>
          </cell>
          <cell r="H54" t="str">
            <v>Under Matric</v>
          </cell>
          <cell r="I54" t="str">
            <v>Khanewal</v>
          </cell>
          <cell r="J54" t="str">
            <v>Kabirwala</v>
          </cell>
          <cell r="K54" t="str">
            <v>Haveli Kornga</v>
          </cell>
          <cell r="L54" t="str">
            <v>--</v>
          </cell>
          <cell r="M54">
            <v>41685</v>
          </cell>
          <cell r="N54" t="str">
            <v>PS Adda Bara Meel</v>
          </cell>
          <cell r="O54" t="str">
            <v>Driver</v>
          </cell>
          <cell r="P54" t="str">
            <v>PS City Khanewal</v>
          </cell>
          <cell r="Q54" t="str">
            <v>Driver</v>
          </cell>
          <cell r="R54">
            <v>45541</v>
          </cell>
        </row>
        <row r="55">
          <cell r="E55" t="str">
            <v>Talib Hussain</v>
          </cell>
          <cell r="F55">
            <v>28161</v>
          </cell>
          <cell r="G55">
            <v>36178</v>
          </cell>
          <cell r="H55" t="str">
            <v>Under Matric</v>
          </cell>
          <cell r="I55" t="str">
            <v>Khanewal</v>
          </cell>
          <cell r="J55" t="str">
            <v>Kabirwala</v>
          </cell>
          <cell r="K55" t="str">
            <v>Adda Bara Meel</v>
          </cell>
          <cell r="L55" t="str">
            <v>Reinstated in Service</v>
          </cell>
          <cell r="M55">
            <v>44477</v>
          </cell>
          <cell r="N55" t="str">
            <v>PS Tulamba</v>
          </cell>
          <cell r="O55" t="str">
            <v>Driver</v>
          </cell>
          <cell r="P55" t="str">
            <v>PS City Khanewal</v>
          </cell>
          <cell r="Q55" t="str">
            <v>Driver</v>
          </cell>
          <cell r="R55">
            <v>45541</v>
          </cell>
        </row>
        <row r="56">
          <cell r="E56" t="str">
            <v>Noor Ahmad</v>
          </cell>
          <cell r="F56">
            <v>29987</v>
          </cell>
          <cell r="G56">
            <v>39199</v>
          </cell>
          <cell r="H56" t="str">
            <v>Matric</v>
          </cell>
          <cell r="I56" t="str">
            <v>Khanewal</v>
          </cell>
          <cell r="J56" t="str">
            <v>Kabirwala</v>
          </cell>
          <cell r="K56" t="str">
            <v>Sarai Sidhu</v>
          </cell>
          <cell r="L56" t="str">
            <v>MT Lahore</v>
          </cell>
          <cell r="M56">
            <v>39589</v>
          </cell>
          <cell r="N56" t="str">
            <v>PS Adda Bara Meel</v>
          </cell>
          <cell r="O56" t="str">
            <v>Driver</v>
          </cell>
          <cell r="P56" t="str">
            <v>PS City Khanewal</v>
          </cell>
          <cell r="Q56" t="str">
            <v>Driver</v>
          </cell>
          <cell r="R56">
            <v>45541</v>
          </cell>
        </row>
        <row r="57">
          <cell r="E57" t="str">
            <v>Muhammad Saddiq</v>
          </cell>
          <cell r="F57">
            <v>36194</v>
          </cell>
          <cell r="G57">
            <v>43223</v>
          </cell>
          <cell r="H57" t="str">
            <v>FA</v>
          </cell>
          <cell r="I57" t="str">
            <v>Khanewal</v>
          </cell>
          <cell r="J57" t="str">
            <v>Mian Channu</v>
          </cell>
          <cell r="K57" t="str">
            <v>Chab kalan</v>
          </cell>
          <cell r="L57" t="str">
            <v>Newly Recruited</v>
          </cell>
          <cell r="M57">
            <v>43225</v>
          </cell>
          <cell r="N57" t="str">
            <v>DSP/SDPO office Sadar Circle Khanewal</v>
          </cell>
          <cell r="O57" t="str">
            <v>PS</v>
          </cell>
          <cell r="P57" t="str">
            <v>PS City Khanewal</v>
          </cell>
          <cell r="Q57" t="str">
            <v>Victim Support Officer</v>
          </cell>
          <cell r="R57">
            <v>44869</v>
          </cell>
        </row>
        <row r="58">
          <cell r="E58" t="str">
            <v>Muhammad Arif</v>
          </cell>
          <cell r="F58">
            <v>36165</v>
          </cell>
          <cell r="G58">
            <v>43223</v>
          </cell>
          <cell r="H58" t="str">
            <v>FSC</v>
          </cell>
          <cell r="I58" t="str">
            <v>Khanewal</v>
          </cell>
          <cell r="J58" t="str">
            <v>Khanewal</v>
          </cell>
          <cell r="K58" t="str">
            <v>Saddar Khanewal</v>
          </cell>
          <cell r="L58" t="str">
            <v>Newly Recruited</v>
          </cell>
          <cell r="M58">
            <v>43225</v>
          </cell>
          <cell r="N58" t="str">
            <v>Police Line Khanewal</v>
          </cell>
          <cell r="O58" t="str">
            <v>PS</v>
          </cell>
          <cell r="P58" t="str">
            <v>PS City Khanewal</v>
          </cell>
          <cell r="Q58" t="str">
            <v>N/Moharir</v>
          </cell>
          <cell r="R58">
            <v>45240</v>
          </cell>
        </row>
        <row r="59">
          <cell r="E59">
            <v>0</v>
          </cell>
          <cell r="F59">
            <v>0</v>
          </cell>
          <cell r="G59" t="str">
            <v>--</v>
          </cell>
          <cell r="H59" t="str">
            <v>--</v>
          </cell>
          <cell r="I59" t="str">
            <v>--</v>
          </cell>
          <cell r="J59">
            <v>6</v>
          </cell>
          <cell r="K59" t="str">
            <v>--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E60" t="str">
            <v>Father Name</v>
          </cell>
          <cell r="F60" t="str">
            <v>Date of birth</v>
          </cell>
          <cell r="G60" t="str">
            <v>Date of Recruitment</v>
          </cell>
          <cell r="H60" t="str">
            <v>education</v>
          </cell>
          <cell r="I60" t="str">
            <v>Home District</v>
          </cell>
          <cell r="J60" t="str">
            <v>Home Tehsil</v>
          </cell>
          <cell r="K60" t="str">
            <v>Home Police Station</v>
          </cell>
          <cell r="L60" t="str">
            <v>Arrivel from Dist/Unit.</v>
          </cell>
          <cell r="M60" t="str">
            <v>Date of Posting in this district</v>
          </cell>
          <cell r="N60" t="str">
            <v>Previous Posting</v>
          </cell>
          <cell r="O60" t="str">
            <v>Current PostingUnit</v>
          </cell>
          <cell r="P60" t="str">
            <v>Current Posting</v>
          </cell>
          <cell r="Q60" t="str">
            <v>Posted As</v>
          </cell>
          <cell r="R60" t="str">
            <v>Date of Posting</v>
          </cell>
        </row>
        <row r="61">
          <cell r="E61" t="str">
            <v>Gulam Muhammad</v>
          </cell>
          <cell r="F61">
            <v>24871</v>
          </cell>
          <cell r="G61">
            <v>33077</v>
          </cell>
          <cell r="H61" t="str">
            <v>Matric</v>
          </cell>
          <cell r="I61" t="str">
            <v>Khanewal</v>
          </cell>
          <cell r="J61" t="str">
            <v>Shorkot</v>
          </cell>
          <cell r="K61" t="str">
            <v>city shorkot</v>
          </cell>
          <cell r="L61">
            <v>0</v>
          </cell>
          <cell r="M61">
            <v>33077</v>
          </cell>
          <cell r="N61" t="str">
            <v>Mohafiz Branch</v>
          </cell>
          <cell r="O61" t="str">
            <v>Guard</v>
          </cell>
          <cell r="P61" t="str">
            <v>Guard DPO House, Khanewal</v>
          </cell>
          <cell r="Q61" t="str">
            <v>Guard Duty</v>
          </cell>
          <cell r="R61">
            <v>45454</v>
          </cell>
        </row>
        <row r="62">
          <cell r="E62" t="str">
            <v>Muhammad Yar</v>
          </cell>
          <cell r="F62">
            <v>24566</v>
          </cell>
          <cell r="G62">
            <v>33024</v>
          </cell>
          <cell r="H62" t="str">
            <v>Matric</v>
          </cell>
          <cell r="I62" t="str">
            <v>Khanewal</v>
          </cell>
          <cell r="J62" t="str">
            <v>Jahanian</v>
          </cell>
          <cell r="K62" t="str">
            <v>Jahanian</v>
          </cell>
          <cell r="L62">
            <v>0</v>
          </cell>
          <cell r="M62">
            <v>35479</v>
          </cell>
          <cell r="N62" t="str">
            <v>Account Branch</v>
          </cell>
          <cell r="O62" t="str">
            <v>Guard</v>
          </cell>
          <cell r="P62" t="str">
            <v>Guard DPO House, Khanewal</v>
          </cell>
          <cell r="Q62" t="str">
            <v>Guard Duty</v>
          </cell>
          <cell r="R62">
            <v>45454</v>
          </cell>
        </row>
        <row r="63">
          <cell r="E63" t="str">
            <v>Muhammad Akber</v>
          </cell>
          <cell r="F63">
            <v>27713</v>
          </cell>
          <cell r="G63">
            <v>36178</v>
          </cell>
          <cell r="H63" t="str">
            <v>FA</v>
          </cell>
          <cell r="I63" t="str">
            <v>Khanewal</v>
          </cell>
          <cell r="J63" t="str">
            <v>Kabirwala</v>
          </cell>
          <cell r="K63" t="str">
            <v>Sadar Kabirwala</v>
          </cell>
          <cell r="L63">
            <v>0</v>
          </cell>
          <cell r="M63">
            <v>38824</v>
          </cell>
          <cell r="N63" t="str">
            <v>Police Line</v>
          </cell>
          <cell r="O63" t="str">
            <v>Guard</v>
          </cell>
          <cell r="P63" t="str">
            <v>Guard DPO House, Khanewal</v>
          </cell>
          <cell r="Q63" t="str">
            <v>Guard Duty</v>
          </cell>
          <cell r="R63">
            <v>45454</v>
          </cell>
        </row>
        <row r="64">
          <cell r="E64" t="str">
            <v>Ghulam Farid</v>
          </cell>
          <cell r="F64">
            <v>25671</v>
          </cell>
          <cell r="G64">
            <v>34221</v>
          </cell>
          <cell r="H64" t="str">
            <v>MA</v>
          </cell>
          <cell r="I64" t="str">
            <v>Khanewal</v>
          </cell>
          <cell r="J64" t="str">
            <v>Khanewal</v>
          </cell>
          <cell r="K64" t="str">
            <v>PS City Khanewal</v>
          </cell>
          <cell r="L64" t="str">
            <v>CTP Lahore</v>
          </cell>
          <cell r="M64">
            <v>45162</v>
          </cell>
          <cell r="N64" t="str">
            <v>Guard Judges Colony Khanewal</v>
          </cell>
          <cell r="O64" t="str">
            <v>Guard</v>
          </cell>
          <cell r="P64" t="str">
            <v>Guard DPO House, Khanewal</v>
          </cell>
          <cell r="Q64" t="str">
            <v>Guard Duty</v>
          </cell>
          <cell r="R64">
            <v>45467</v>
          </cell>
        </row>
        <row r="65">
          <cell r="E65" t="str">
            <v>Ali Muhammad</v>
          </cell>
          <cell r="F65">
            <v>25659</v>
          </cell>
          <cell r="G65">
            <v>40309</v>
          </cell>
          <cell r="H65" t="str">
            <v>Matric</v>
          </cell>
          <cell r="I65" t="str">
            <v>Khanewal</v>
          </cell>
          <cell r="J65" t="str">
            <v>Mian Channu</v>
          </cell>
          <cell r="K65" t="str">
            <v>Chab Kalan</v>
          </cell>
          <cell r="L65" t="str">
            <v>--</v>
          </cell>
          <cell r="M65">
            <v>40309</v>
          </cell>
          <cell r="N65" t="str">
            <v>Guard Khazana Khanewal</v>
          </cell>
          <cell r="O65" t="str">
            <v>Guard</v>
          </cell>
          <cell r="P65" t="str">
            <v>Guard DPO Office Khanewal</v>
          </cell>
          <cell r="Q65" t="str">
            <v>Guard Duty</v>
          </cell>
          <cell r="R65">
            <v>45467</v>
          </cell>
        </row>
        <row r="66">
          <cell r="E66" t="str">
            <v xml:space="preserve">Muhammad Sharif </v>
          </cell>
          <cell r="F66">
            <v>26484</v>
          </cell>
          <cell r="G66">
            <v>33147</v>
          </cell>
          <cell r="H66" t="str">
            <v>Matric</v>
          </cell>
          <cell r="I66" t="str">
            <v>Khanewal</v>
          </cell>
          <cell r="J66" t="str">
            <v>Kabirwala</v>
          </cell>
          <cell r="K66" t="str">
            <v>Saddar Kabirwala</v>
          </cell>
          <cell r="L66">
            <v>0</v>
          </cell>
          <cell r="M66">
            <v>33147</v>
          </cell>
          <cell r="N66" t="str">
            <v>Guard DCO office Khanewal</v>
          </cell>
          <cell r="O66" t="str">
            <v>Guard</v>
          </cell>
          <cell r="P66" t="str">
            <v>Guard DPO House, Khanewal</v>
          </cell>
          <cell r="Q66" t="str">
            <v>Guard Duty</v>
          </cell>
          <cell r="R66">
            <v>45467</v>
          </cell>
        </row>
        <row r="67">
          <cell r="E67">
            <v>0</v>
          </cell>
          <cell r="F67">
            <v>0</v>
          </cell>
          <cell r="G67" t="str">
            <v>--</v>
          </cell>
          <cell r="H67">
            <v>1</v>
          </cell>
          <cell r="I67" t="str">
            <v>--</v>
          </cell>
          <cell r="J67">
            <v>5</v>
          </cell>
          <cell r="K67">
            <v>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E68" t="str">
            <v>Father Name</v>
          </cell>
          <cell r="F68" t="str">
            <v>Date of birth</v>
          </cell>
          <cell r="G68" t="str">
            <v>Date of Recruitment</v>
          </cell>
          <cell r="H68" t="str">
            <v>education</v>
          </cell>
          <cell r="I68" t="str">
            <v>Home District</v>
          </cell>
          <cell r="J68" t="str">
            <v>Home Tehsil</v>
          </cell>
          <cell r="K68" t="str">
            <v>Home Police Station</v>
          </cell>
          <cell r="L68" t="str">
            <v>Arrivel from Dist/Unit.</v>
          </cell>
          <cell r="M68" t="str">
            <v>Date of Posting in this district</v>
          </cell>
          <cell r="N68" t="str">
            <v>Previous Posting</v>
          </cell>
          <cell r="O68" t="str">
            <v>Current PostingUnit</v>
          </cell>
          <cell r="P68" t="str">
            <v>Current Posting</v>
          </cell>
          <cell r="Q68" t="str">
            <v>Posted As</v>
          </cell>
          <cell r="R68" t="str">
            <v>Date of Posting</v>
          </cell>
        </row>
        <row r="69">
          <cell r="E69" t="str">
            <v>Muhammad Naseeb Khan</v>
          </cell>
          <cell r="F69">
            <v>28917</v>
          </cell>
          <cell r="G69">
            <v>36094</v>
          </cell>
          <cell r="H69" t="str">
            <v>Matric</v>
          </cell>
          <cell r="I69" t="str">
            <v>Khanewal</v>
          </cell>
          <cell r="J69" t="str">
            <v>Khanewal</v>
          </cell>
          <cell r="K69" t="str">
            <v>City Khanewal</v>
          </cell>
          <cell r="L69">
            <v>0</v>
          </cell>
          <cell r="M69">
            <v>36094</v>
          </cell>
          <cell r="N69" t="str">
            <v>Guard SP/Investigation House</v>
          </cell>
          <cell r="O69" t="str">
            <v>Guard</v>
          </cell>
          <cell r="P69" t="str">
            <v>Guard DPO Office Khanewal</v>
          </cell>
          <cell r="Q69" t="str">
            <v>Incharge</v>
          </cell>
          <cell r="R69">
            <v>45225</v>
          </cell>
        </row>
        <row r="70">
          <cell r="E70" t="str">
            <v>Javed Nazir</v>
          </cell>
          <cell r="F70">
            <v>34627</v>
          </cell>
          <cell r="G70">
            <v>42116</v>
          </cell>
          <cell r="H70" t="str">
            <v>FA</v>
          </cell>
          <cell r="I70" t="str">
            <v>Khanewal</v>
          </cell>
          <cell r="J70" t="str">
            <v>Mian Channu</v>
          </cell>
          <cell r="K70" t="str">
            <v>City Mian Channu</v>
          </cell>
          <cell r="L70" t="str">
            <v>PC-4</v>
          </cell>
          <cell r="M70">
            <v>43256</v>
          </cell>
          <cell r="N70" t="str">
            <v>PS City Khanewal</v>
          </cell>
          <cell r="O70" t="str">
            <v>Guard</v>
          </cell>
          <cell r="P70" t="str">
            <v>Guard DPO Office Khanewal</v>
          </cell>
          <cell r="Q70" t="str">
            <v>Guard Duty</v>
          </cell>
          <cell r="R70">
            <v>44356</v>
          </cell>
        </row>
        <row r="71">
          <cell r="E71" t="str">
            <v>Muhammad Akbar</v>
          </cell>
          <cell r="F71">
            <v>30651</v>
          </cell>
          <cell r="G71">
            <v>38918</v>
          </cell>
          <cell r="H71" t="str">
            <v>B.Com</v>
          </cell>
          <cell r="I71" t="str">
            <v>Khanewal</v>
          </cell>
          <cell r="J71" t="str">
            <v>Kabirwala</v>
          </cell>
          <cell r="K71" t="str">
            <v>Sadar Kabirwala</v>
          </cell>
          <cell r="L71" t="str">
            <v>--</v>
          </cell>
          <cell r="M71">
            <v>38922</v>
          </cell>
          <cell r="N71" t="str">
            <v>Police Line</v>
          </cell>
          <cell r="O71" t="str">
            <v>Guard</v>
          </cell>
          <cell r="P71" t="str">
            <v>Guard DPO Office Khanewal</v>
          </cell>
          <cell r="Q71" t="str">
            <v>Guard Duty</v>
          </cell>
          <cell r="R71">
            <v>44944</v>
          </cell>
        </row>
        <row r="72">
          <cell r="E72" t="str">
            <v>Walayet Ali</v>
          </cell>
          <cell r="F72">
            <v>26104</v>
          </cell>
          <cell r="G72">
            <v>34221</v>
          </cell>
          <cell r="H72" t="str">
            <v>Matric</v>
          </cell>
          <cell r="I72" t="str">
            <v>Khanewal</v>
          </cell>
          <cell r="J72" t="str">
            <v>Kabirwala</v>
          </cell>
          <cell r="K72" t="str">
            <v>Sadar Kabirwala</v>
          </cell>
          <cell r="L72" t="str">
            <v>Multan</v>
          </cell>
          <cell r="M72">
            <v>39588</v>
          </cell>
          <cell r="N72" t="str">
            <v>PS City Kabirwala</v>
          </cell>
          <cell r="O72" t="str">
            <v>Guard</v>
          </cell>
          <cell r="P72" t="str">
            <v>Guard DPO Office Khanewal</v>
          </cell>
          <cell r="Q72" t="str">
            <v>Guard Duty</v>
          </cell>
          <cell r="R72">
            <v>45146</v>
          </cell>
        </row>
        <row r="73">
          <cell r="E73" t="str">
            <v xml:space="preserve">Syed Ikhlaq Hussain </v>
          </cell>
          <cell r="F73">
            <v>33954</v>
          </cell>
          <cell r="G73">
            <v>42572</v>
          </cell>
          <cell r="H73" t="str">
            <v>FA</v>
          </cell>
          <cell r="I73" t="str">
            <v>Khanewal</v>
          </cell>
          <cell r="J73" t="str">
            <v>Khanewal</v>
          </cell>
          <cell r="K73" t="str">
            <v>Saddar Khanewal</v>
          </cell>
          <cell r="L73" t="str">
            <v>PC</v>
          </cell>
          <cell r="M73">
            <v>43768</v>
          </cell>
          <cell r="N73" t="str">
            <v>Police Line</v>
          </cell>
          <cell r="O73" t="str">
            <v>Guard</v>
          </cell>
          <cell r="P73" t="str">
            <v>Guard DPO Office Khanewal</v>
          </cell>
          <cell r="Q73" t="str">
            <v>Guard Duty</v>
          </cell>
          <cell r="R73">
            <v>45240</v>
          </cell>
        </row>
        <row r="74">
          <cell r="E74" t="str">
            <v>Muhammad Ameen</v>
          </cell>
          <cell r="F74">
            <v>28976</v>
          </cell>
          <cell r="G74">
            <v>36224</v>
          </cell>
          <cell r="H74" t="str">
            <v>Matric</v>
          </cell>
          <cell r="I74" t="str">
            <v>Khanewal</v>
          </cell>
          <cell r="J74" t="str">
            <v>Mian Channu</v>
          </cell>
          <cell r="K74" t="str">
            <v>City Mian Channu</v>
          </cell>
          <cell r="L74" t="str">
            <v xml:space="preserve">Reinstate from Dismissal </v>
          </cell>
          <cell r="M74">
            <v>43760</v>
          </cell>
          <cell r="N74" t="str">
            <v>Guard Khazana Khanewal</v>
          </cell>
          <cell r="O74" t="str">
            <v>Guard</v>
          </cell>
          <cell r="P74" t="str">
            <v>Guard DPO Office Khanewal</v>
          </cell>
          <cell r="Q74" t="str">
            <v>Guard Duty</v>
          </cell>
          <cell r="R74">
            <v>45467</v>
          </cell>
        </row>
        <row r="75">
          <cell r="E75" t="str">
            <v xml:space="preserve">Muhammad Ramzan </v>
          </cell>
          <cell r="F75">
            <v>37131</v>
          </cell>
          <cell r="G75">
            <v>44823</v>
          </cell>
          <cell r="H75" t="str">
            <v>F.Sc</v>
          </cell>
          <cell r="I75" t="str">
            <v>Khanewal</v>
          </cell>
          <cell r="J75" t="str">
            <v>Mian Channu</v>
          </cell>
          <cell r="K75" t="str">
            <v>Chab Kalan</v>
          </cell>
          <cell r="L75" t="str">
            <v>Newly Recruited</v>
          </cell>
          <cell r="M75">
            <v>44823</v>
          </cell>
          <cell r="N75" t="str">
            <v>Police Line</v>
          </cell>
          <cell r="O75" t="str">
            <v>Guard</v>
          </cell>
          <cell r="P75" t="str">
            <v>Guard DPO Office Khanewal</v>
          </cell>
          <cell r="Q75" t="str">
            <v>Comp. Opt</v>
          </cell>
          <cell r="R75">
            <v>45121</v>
          </cell>
        </row>
        <row r="76">
          <cell r="E76" t="str">
            <v>Muhammad Aslam</v>
          </cell>
          <cell r="F76">
            <v>37229</v>
          </cell>
          <cell r="G76">
            <v>44823</v>
          </cell>
          <cell r="H76" t="str">
            <v>F.Sc</v>
          </cell>
          <cell r="I76" t="str">
            <v>Khanewal</v>
          </cell>
          <cell r="J76" t="str">
            <v>Khanewal</v>
          </cell>
          <cell r="K76" t="str">
            <v>City Khanewal</v>
          </cell>
          <cell r="L76" t="str">
            <v>Newly Recruited</v>
          </cell>
          <cell r="M76">
            <v>44823</v>
          </cell>
          <cell r="N76" t="str">
            <v>Guard Civil Court Khanewal</v>
          </cell>
          <cell r="O76" t="str">
            <v>Guard</v>
          </cell>
          <cell r="P76" t="str">
            <v>Guard DPO Office Khanewal</v>
          </cell>
          <cell r="Q76" t="str">
            <v>Guard Duty</v>
          </cell>
          <cell r="R76">
            <v>45197</v>
          </cell>
        </row>
        <row r="77">
          <cell r="E77">
            <v>0</v>
          </cell>
          <cell r="F77">
            <v>0</v>
          </cell>
          <cell r="G77" t="str">
            <v>--</v>
          </cell>
          <cell r="H77" t="str">
            <v>--</v>
          </cell>
          <cell r="I77" t="str">
            <v>--</v>
          </cell>
          <cell r="J77">
            <v>2</v>
          </cell>
          <cell r="K77" t="str">
            <v>--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E78" t="str">
            <v>Father Name</v>
          </cell>
          <cell r="F78" t="str">
            <v>Date of birth</v>
          </cell>
          <cell r="G78" t="str">
            <v>Date of Recruitment</v>
          </cell>
          <cell r="H78" t="str">
            <v>education</v>
          </cell>
          <cell r="I78" t="str">
            <v>Home District</v>
          </cell>
          <cell r="J78" t="str">
            <v>Home Tehsil</v>
          </cell>
          <cell r="K78" t="str">
            <v>Home Police Station</v>
          </cell>
          <cell r="L78" t="str">
            <v>Arrivel from Dist/Unit.</v>
          </cell>
          <cell r="M78" t="str">
            <v>Date of Posting in this district</v>
          </cell>
          <cell r="N78" t="str">
            <v>Previous Posting</v>
          </cell>
          <cell r="O78" t="str">
            <v>Current PostingUnit</v>
          </cell>
          <cell r="P78" t="str">
            <v>Current Posting</v>
          </cell>
          <cell r="Q78" t="str">
            <v>Posted As</v>
          </cell>
          <cell r="R78" t="str">
            <v>Date of Posting</v>
          </cell>
        </row>
        <row r="79">
          <cell r="E79" t="str">
            <v>Muhammad Ramzan</v>
          </cell>
          <cell r="F79">
            <v>25150</v>
          </cell>
          <cell r="G79">
            <v>32639</v>
          </cell>
          <cell r="H79" t="str">
            <v>Matric</v>
          </cell>
          <cell r="I79" t="str">
            <v>Khanewal</v>
          </cell>
          <cell r="J79" t="str">
            <v>Khanewal</v>
          </cell>
          <cell r="K79" t="str">
            <v>Makhdoom Pur</v>
          </cell>
          <cell r="L79" t="str">
            <v>Traffic Khanewal</v>
          </cell>
          <cell r="M79">
            <v>43927</v>
          </cell>
          <cell r="N79" t="str">
            <v>Police Line</v>
          </cell>
          <cell r="O79" t="str">
            <v>Guard</v>
          </cell>
          <cell r="P79" t="str">
            <v xml:space="preserve">Guard SP/Inv. House </v>
          </cell>
          <cell r="Q79" t="str">
            <v>Guard Duty</v>
          </cell>
          <cell r="R79">
            <v>45019</v>
          </cell>
        </row>
        <row r="80">
          <cell r="E80" t="str">
            <v>Wali dad</v>
          </cell>
          <cell r="F80">
            <v>24234</v>
          </cell>
          <cell r="G80">
            <v>32903</v>
          </cell>
          <cell r="H80" t="str">
            <v>Matric</v>
          </cell>
          <cell r="I80" t="str">
            <v>Khanewal</v>
          </cell>
          <cell r="J80" t="str">
            <v>Khanewal</v>
          </cell>
          <cell r="K80" t="str">
            <v>Sadar Khanewal</v>
          </cell>
          <cell r="L80">
            <v>0</v>
          </cell>
          <cell r="M80">
            <v>32903</v>
          </cell>
          <cell r="N80" t="str">
            <v>Guard Dar ul Aman Khanewal</v>
          </cell>
          <cell r="O80" t="str">
            <v>Guard</v>
          </cell>
          <cell r="P80" t="str">
            <v xml:space="preserve">Guard SP/Inv. House </v>
          </cell>
          <cell r="Q80" t="str">
            <v>Guard Duty</v>
          </cell>
          <cell r="R80">
            <v>45019</v>
          </cell>
        </row>
        <row r="81">
          <cell r="E81">
            <v>0</v>
          </cell>
          <cell r="F81">
            <v>0</v>
          </cell>
          <cell r="G81" t="str">
            <v>--</v>
          </cell>
          <cell r="H81" t="str">
            <v>--</v>
          </cell>
          <cell r="I81" t="str">
            <v>--</v>
          </cell>
          <cell r="J81" t="str">
            <v>--</v>
          </cell>
          <cell r="K81" t="str">
            <v>--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E82" t="str">
            <v>Father Name</v>
          </cell>
          <cell r="F82" t="str">
            <v>Date of birth</v>
          </cell>
          <cell r="G82" t="str">
            <v>Date of Recruitment</v>
          </cell>
          <cell r="H82" t="str">
            <v>education</v>
          </cell>
          <cell r="I82" t="str">
            <v>Home District</v>
          </cell>
          <cell r="J82" t="str">
            <v>Home Tehsil</v>
          </cell>
          <cell r="K82" t="str">
            <v>Home Police Station</v>
          </cell>
          <cell r="L82" t="str">
            <v>Arrivel from Dist/Unit.</v>
          </cell>
          <cell r="M82" t="str">
            <v>Date of Posting in this district</v>
          </cell>
          <cell r="N82" t="str">
            <v>Previous Posting</v>
          </cell>
          <cell r="O82" t="str">
            <v>Current PostingUnit</v>
          </cell>
          <cell r="P82" t="str">
            <v>Current Posting</v>
          </cell>
          <cell r="Q82" t="str">
            <v>Posted As</v>
          </cell>
          <cell r="R82" t="str">
            <v>Date of Posting</v>
          </cell>
        </row>
        <row r="83">
          <cell r="E83" t="str">
            <v>--</v>
          </cell>
          <cell r="F83" t="str">
            <v>--</v>
          </cell>
          <cell r="G83" t="str">
            <v>--</v>
          </cell>
          <cell r="H83" t="str">
            <v>--</v>
          </cell>
          <cell r="I83" t="str">
            <v>--</v>
          </cell>
          <cell r="J83" t="str">
            <v>--</v>
          </cell>
          <cell r="K83" t="str">
            <v>--</v>
          </cell>
          <cell r="L83" t="str">
            <v>--</v>
          </cell>
          <cell r="M83" t="str">
            <v>--</v>
          </cell>
          <cell r="N83" t="str">
            <v>--</v>
          </cell>
          <cell r="O83" t="str">
            <v>--</v>
          </cell>
          <cell r="P83" t="str">
            <v>--</v>
          </cell>
          <cell r="Q83" t="str">
            <v>--</v>
          </cell>
          <cell r="R83" t="str">
            <v>--</v>
          </cell>
        </row>
        <row r="84">
          <cell r="E84">
            <v>0</v>
          </cell>
          <cell r="F84">
            <v>0</v>
          </cell>
          <cell r="G84" t="str">
            <v>--</v>
          </cell>
          <cell r="H84" t="str">
            <v>--</v>
          </cell>
          <cell r="I84" t="str">
            <v>--</v>
          </cell>
          <cell r="J84">
            <v>1</v>
          </cell>
          <cell r="K84" t="str">
            <v>--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E85" t="str">
            <v>Father Name</v>
          </cell>
          <cell r="F85" t="str">
            <v>Date of birth</v>
          </cell>
          <cell r="G85" t="str">
            <v>Date of Recruitment</v>
          </cell>
          <cell r="H85" t="str">
            <v>education</v>
          </cell>
          <cell r="I85" t="str">
            <v>Home District</v>
          </cell>
          <cell r="J85" t="str">
            <v>Home Tehsil</v>
          </cell>
          <cell r="K85" t="str">
            <v>Home Police Station</v>
          </cell>
          <cell r="L85" t="str">
            <v>Arrivel from Dist/Unit.</v>
          </cell>
          <cell r="M85" t="str">
            <v>Date of Posting in this district</v>
          </cell>
          <cell r="N85" t="str">
            <v>Previous Posting</v>
          </cell>
          <cell r="O85" t="str">
            <v>Current PostingUnit</v>
          </cell>
          <cell r="P85" t="str">
            <v>Current Posting</v>
          </cell>
          <cell r="Q85" t="str">
            <v>Posted As</v>
          </cell>
          <cell r="R85" t="str">
            <v>Date of Posting</v>
          </cell>
        </row>
        <row r="86">
          <cell r="E86" t="str">
            <v xml:space="preserve">Muhammad Nawaz </v>
          </cell>
          <cell r="F86">
            <v>30775</v>
          </cell>
          <cell r="G86">
            <v>38918</v>
          </cell>
          <cell r="H86" t="str">
            <v>BA</v>
          </cell>
          <cell r="I86" t="str">
            <v>Khanewal</v>
          </cell>
          <cell r="J86" t="str">
            <v>Jehanian</v>
          </cell>
          <cell r="K86" t="str">
            <v>Jehanian</v>
          </cell>
          <cell r="L86" t="str">
            <v>--</v>
          </cell>
          <cell r="M86">
            <v>38918</v>
          </cell>
          <cell r="N86" t="str">
            <v>Guard Session House Khanewal</v>
          </cell>
          <cell r="O86" t="str">
            <v>Guard</v>
          </cell>
          <cell r="P86" t="str">
            <v>Guard Khidmat Markaz Khanewal</v>
          </cell>
          <cell r="Q86" t="str">
            <v>Guard Duty</v>
          </cell>
          <cell r="R86">
            <v>45049</v>
          </cell>
        </row>
        <row r="87">
          <cell r="E87">
            <v>0</v>
          </cell>
          <cell r="F87">
            <v>0</v>
          </cell>
          <cell r="G87" t="str">
            <v>--</v>
          </cell>
          <cell r="H87" t="str">
            <v>--</v>
          </cell>
          <cell r="I87">
            <v>1</v>
          </cell>
          <cell r="J87">
            <v>2</v>
          </cell>
          <cell r="K87" t="str">
            <v>--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E88" t="str">
            <v>Father Name</v>
          </cell>
          <cell r="F88" t="str">
            <v>Date of birth</v>
          </cell>
          <cell r="G88" t="str">
            <v>Date of Recruitment</v>
          </cell>
          <cell r="H88" t="str">
            <v>education</v>
          </cell>
          <cell r="I88" t="str">
            <v>Home District</v>
          </cell>
          <cell r="J88" t="str">
            <v>Home Tehsil</v>
          </cell>
          <cell r="K88" t="str">
            <v>Home Police Station</v>
          </cell>
          <cell r="L88" t="str">
            <v>Arrivel from Dist/Unit.</v>
          </cell>
          <cell r="M88" t="str">
            <v>Date of Posting in this district</v>
          </cell>
          <cell r="N88" t="str">
            <v>Previous Posting</v>
          </cell>
          <cell r="O88" t="str">
            <v>Current PostingUnit</v>
          </cell>
          <cell r="P88" t="str">
            <v>Current Posting</v>
          </cell>
          <cell r="Q88" t="str">
            <v>Posted As</v>
          </cell>
          <cell r="R88" t="str">
            <v>Date of Posting</v>
          </cell>
        </row>
        <row r="89">
          <cell r="E89" t="str">
            <v>Haji Fazal Haq</v>
          </cell>
          <cell r="F89">
            <v>25447</v>
          </cell>
          <cell r="G89">
            <v>31594</v>
          </cell>
          <cell r="H89" t="str">
            <v>Under Matric</v>
          </cell>
          <cell r="I89" t="str">
            <v>Khanewal</v>
          </cell>
          <cell r="J89" t="str">
            <v>Khanewal</v>
          </cell>
          <cell r="K89" t="str">
            <v>Sadar Kabirwala</v>
          </cell>
          <cell r="L89">
            <v>0</v>
          </cell>
          <cell r="M89">
            <v>32027</v>
          </cell>
          <cell r="N89" t="str">
            <v>Guard DCO House Khanewal</v>
          </cell>
          <cell r="O89" t="str">
            <v>Guard</v>
          </cell>
          <cell r="P89" t="str">
            <v>Guard DCO Office Khanewal</v>
          </cell>
          <cell r="Q89" t="str">
            <v>Incharge</v>
          </cell>
          <cell r="R89">
            <v>45122</v>
          </cell>
        </row>
        <row r="90">
          <cell r="E90" t="str">
            <v xml:space="preserve">Muhammad Iqbal </v>
          </cell>
          <cell r="F90">
            <v>26362</v>
          </cell>
          <cell r="G90">
            <v>32999</v>
          </cell>
          <cell r="H90" t="str">
            <v>Under Matric</v>
          </cell>
          <cell r="I90" t="str">
            <v>Khanewal</v>
          </cell>
          <cell r="J90" t="str">
            <v>Khanewal</v>
          </cell>
          <cell r="K90" t="str">
            <v>Kohna Khanewal</v>
          </cell>
          <cell r="L90" t="str">
            <v>Multan</v>
          </cell>
          <cell r="M90">
            <v>39706</v>
          </cell>
          <cell r="N90" t="str">
            <v>PS Sadar Khanewal</v>
          </cell>
          <cell r="O90" t="str">
            <v>Guard</v>
          </cell>
          <cell r="P90" t="str">
            <v>Guard DCO office Khanewal</v>
          </cell>
          <cell r="Q90" t="str">
            <v>Guard Duty</v>
          </cell>
          <cell r="R90">
            <v>44646</v>
          </cell>
        </row>
        <row r="91">
          <cell r="E91" t="str">
            <v>Ghulam Sarwar</v>
          </cell>
          <cell r="F91">
            <v>36019</v>
          </cell>
          <cell r="G91">
            <v>43223</v>
          </cell>
          <cell r="H91" t="str">
            <v>Matric</v>
          </cell>
          <cell r="I91" t="str">
            <v>Khanewal</v>
          </cell>
          <cell r="J91" t="str">
            <v>Mian Channu</v>
          </cell>
          <cell r="K91" t="str">
            <v>Saddar Mian Chanu</v>
          </cell>
          <cell r="L91" t="str">
            <v>PC-3 Multan</v>
          </cell>
          <cell r="M91">
            <v>44301</v>
          </cell>
          <cell r="N91" t="str">
            <v>Guard Session House Khanewal</v>
          </cell>
          <cell r="O91" t="str">
            <v>Guard</v>
          </cell>
          <cell r="P91" t="str">
            <v>Guard DCO Office Khanewal</v>
          </cell>
          <cell r="Q91" t="str">
            <v>Guard Duty</v>
          </cell>
          <cell r="R91">
            <v>45548</v>
          </cell>
        </row>
        <row r="92">
          <cell r="E92">
            <v>0</v>
          </cell>
          <cell r="F92">
            <v>0</v>
          </cell>
          <cell r="G92" t="str">
            <v>--</v>
          </cell>
          <cell r="H92" t="str">
            <v>--</v>
          </cell>
          <cell r="I92">
            <v>1</v>
          </cell>
          <cell r="J92">
            <v>2</v>
          </cell>
          <cell r="K92" t="str">
            <v>--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E93" t="str">
            <v>Father Name</v>
          </cell>
          <cell r="F93" t="str">
            <v>Date of birth</v>
          </cell>
          <cell r="G93" t="str">
            <v>Date of Recruitment</v>
          </cell>
          <cell r="H93" t="str">
            <v>education</v>
          </cell>
          <cell r="I93" t="str">
            <v>Home District</v>
          </cell>
          <cell r="J93" t="str">
            <v>Home Tehsil</v>
          </cell>
          <cell r="K93" t="str">
            <v>Home Police Station</v>
          </cell>
          <cell r="L93" t="str">
            <v>Arrivel from Dist/Unit.</v>
          </cell>
          <cell r="M93" t="str">
            <v>Date of Posting in this district</v>
          </cell>
          <cell r="N93" t="str">
            <v>Previous Posting</v>
          </cell>
          <cell r="O93" t="str">
            <v>Current PostingUnit</v>
          </cell>
          <cell r="P93" t="str">
            <v>Current Posting</v>
          </cell>
          <cell r="Q93" t="str">
            <v>Posted As</v>
          </cell>
          <cell r="R93" t="str">
            <v>Date of Posting</v>
          </cell>
        </row>
        <row r="94">
          <cell r="E94" t="str">
            <v>Muhammad Yousaf Shah</v>
          </cell>
          <cell r="F94">
            <v>28550</v>
          </cell>
          <cell r="G94">
            <v>37680</v>
          </cell>
          <cell r="H94" t="str">
            <v>BA</v>
          </cell>
          <cell r="I94" t="str">
            <v>Sialkot</v>
          </cell>
          <cell r="J94" t="str">
            <v>Sialkot</v>
          </cell>
          <cell r="K94" t="str">
            <v>Saddar Daska</v>
          </cell>
          <cell r="L94" t="str">
            <v>promoted as HC</v>
          </cell>
          <cell r="M94">
            <v>44866</v>
          </cell>
          <cell r="N94" t="str">
            <v xml:space="preserve">Guard SP/Inv. House </v>
          </cell>
          <cell r="O94" t="str">
            <v>Guard</v>
          </cell>
          <cell r="P94" t="str">
            <v>Guard DC House Khanewal</v>
          </cell>
          <cell r="Q94" t="str">
            <v>Incharge</v>
          </cell>
          <cell r="R94">
            <v>45523</v>
          </cell>
        </row>
        <row r="95">
          <cell r="E95" t="str">
            <v>Ahmad Ali</v>
          </cell>
          <cell r="F95">
            <v>28656</v>
          </cell>
          <cell r="G95">
            <v>36707</v>
          </cell>
          <cell r="H95" t="str">
            <v>Matric</v>
          </cell>
          <cell r="I95" t="str">
            <v>Khanewal</v>
          </cell>
          <cell r="J95" t="str">
            <v>Khanewal</v>
          </cell>
          <cell r="K95" t="str">
            <v>Makhdoom Pur</v>
          </cell>
          <cell r="L95" t="str">
            <v>Traffic</v>
          </cell>
          <cell r="M95">
            <v>45509</v>
          </cell>
          <cell r="N95" t="str">
            <v>Police Line</v>
          </cell>
          <cell r="O95" t="str">
            <v>Guard</v>
          </cell>
          <cell r="P95" t="str">
            <v>Guard DCO House Khanewal</v>
          </cell>
          <cell r="Q95" t="str">
            <v>Guard Duty</v>
          </cell>
          <cell r="R95">
            <v>45523</v>
          </cell>
        </row>
        <row r="96">
          <cell r="E96" t="str">
            <v>Munawar Hussain</v>
          </cell>
          <cell r="F96">
            <v>32102</v>
          </cell>
          <cell r="G96">
            <v>39540</v>
          </cell>
          <cell r="H96" t="str">
            <v>Matric</v>
          </cell>
          <cell r="I96" t="str">
            <v>Khanewal</v>
          </cell>
          <cell r="J96" t="str">
            <v>Khanewal</v>
          </cell>
          <cell r="K96" t="str">
            <v>Kacha Khuh</v>
          </cell>
          <cell r="L96" t="str">
            <v>PC</v>
          </cell>
          <cell r="M96">
            <v>44641</v>
          </cell>
          <cell r="N96" t="str">
            <v>Guard Special Branch Khanewal</v>
          </cell>
          <cell r="O96" t="str">
            <v>Guard</v>
          </cell>
          <cell r="P96" t="str">
            <v>Guard DC House Khanewal</v>
          </cell>
          <cell r="Q96" t="str">
            <v>Guard Duty</v>
          </cell>
          <cell r="R96">
            <v>45548</v>
          </cell>
        </row>
        <row r="97">
          <cell r="E97">
            <v>0</v>
          </cell>
          <cell r="F97">
            <v>0</v>
          </cell>
          <cell r="G97" t="str">
            <v>--</v>
          </cell>
          <cell r="H97">
            <v>1</v>
          </cell>
          <cell r="I97">
            <v>1</v>
          </cell>
          <cell r="J97">
            <v>5</v>
          </cell>
          <cell r="K97">
            <v>2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E98" t="str">
            <v>Father Name</v>
          </cell>
          <cell r="F98" t="str">
            <v>Date of birth</v>
          </cell>
          <cell r="G98" t="str">
            <v>Date of Recruitment</v>
          </cell>
          <cell r="H98" t="str">
            <v>education</v>
          </cell>
          <cell r="I98" t="str">
            <v>Home District</v>
          </cell>
          <cell r="J98" t="str">
            <v>Home Tehsil</v>
          </cell>
          <cell r="K98" t="str">
            <v>Home Police Station</v>
          </cell>
          <cell r="L98" t="str">
            <v>Arrivel from Dist/Unit.</v>
          </cell>
          <cell r="M98" t="str">
            <v>Date of Posting in this district</v>
          </cell>
          <cell r="N98" t="str">
            <v>Previous Posting</v>
          </cell>
          <cell r="O98" t="str">
            <v>Current PostingUnit</v>
          </cell>
          <cell r="P98" t="str">
            <v>Current Posting</v>
          </cell>
          <cell r="Q98" t="str">
            <v>Posted As</v>
          </cell>
          <cell r="R98" t="str">
            <v>Date of Posting</v>
          </cell>
        </row>
        <row r="99">
          <cell r="E99" t="str">
            <v>Ahmad Bashir Khan</v>
          </cell>
          <cell r="F99">
            <v>27895</v>
          </cell>
          <cell r="G99">
            <v>35478</v>
          </cell>
          <cell r="H99" t="str">
            <v>FA</v>
          </cell>
          <cell r="I99" t="str">
            <v>Khanewal</v>
          </cell>
          <cell r="J99" t="str">
            <v>Khanewal</v>
          </cell>
          <cell r="K99" t="str">
            <v>Sadar Khanewal</v>
          </cell>
          <cell r="L99" t="str">
            <v>RPO Office Multan</v>
          </cell>
          <cell r="M99">
            <v>45519</v>
          </cell>
          <cell r="N99" t="str">
            <v>Police Line</v>
          </cell>
          <cell r="O99" t="str">
            <v>Guard</v>
          </cell>
          <cell r="P99" t="str">
            <v>Guard Civil Court Khanewal</v>
          </cell>
          <cell r="Q99" t="str">
            <v>Incharge</v>
          </cell>
          <cell r="R99">
            <v>45547</v>
          </cell>
        </row>
        <row r="100">
          <cell r="E100" t="str">
            <v>Muhammad Kabbir</v>
          </cell>
          <cell r="F100">
            <v>32608</v>
          </cell>
          <cell r="G100">
            <v>40543</v>
          </cell>
          <cell r="H100" t="str">
            <v>MA</v>
          </cell>
          <cell r="I100" t="str">
            <v>Khanewal</v>
          </cell>
          <cell r="J100" t="str">
            <v>Khanewal</v>
          </cell>
          <cell r="K100" t="str">
            <v>Makhdompur</v>
          </cell>
          <cell r="L100" t="str">
            <v>--</v>
          </cell>
          <cell r="M100">
            <v>40543</v>
          </cell>
          <cell r="N100" t="str">
            <v>Judicial Police Line</v>
          </cell>
          <cell r="O100" t="str">
            <v>Guard</v>
          </cell>
          <cell r="P100" t="str">
            <v>Guard Civil Court Khanewal</v>
          </cell>
          <cell r="Q100" t="str">
            <v>Guard Duty</v>
          </cell>
          <cell r="R100">
            <v>44974</v>
          </cell>
        </row>
        <row r="101">
          <cell r="E101" t="str">
            <v>Mahdi Hassan</v>
          </cell>
          <cell r="F101">
            <v>33608</v>
          </cell>
          <cell r="G101">
            <v>40543</v>
          </cell>
          <cell r="H101" t="str">
            <v>FA</v>
          </cell>
          <cell r="I101" t="str">
            <v>Khanewal</v>
          </cell>
          <cell r="J101" t="str">
            <v>Mian Channu</v>
          </cell>
          <cell r="K101" t="str">
            <v>Saddar Mian Channu</v>
          </cell>
          <cell r="L101" t="str">
            <v>PC-3 Multan</v>
          </cell>
          <cell r="M101">
            <v>44497</v>
          </cell>
          <cell r="N101" t="str">
            <v>Judicial Duty Police Line</v>
          </cell>
          <cell r="O101" t="str">
            <v>Guard</v>
          </cell>
          <cell r="P101" t="str">
            <v>Guard Civil Court Khanewal</v>
          </cell>
          <cell r="Q101" t="str">
            <v>Guard Duty</v>
          </cell>
          <cell r="R101">
            <v>44764</v>
          </cell>
        </row>
        <row r="102">
          <cell r="E102" t="str">
            <v>Irfan Ahmad</v>
          </cell>
          <cell r="F102">
            <v>33004</v>
          </cell>
          <cell r="G102">
            <v>39846</v>
          </cell>
          <cell r="H102" t="str">
            <v>Matric</v>
          </cell>
          <cell r="I102" t="str">
            <v>Multan</v>
          </cell>
          <cell r="J102" t="str">
            <v>Multan</v>
          </cell>
          <cell r="K102" t="str">
            <v>Gulgasht</v>
          </cell>
          <cell r="L102" t="str">
            <v>PC-3 Multan</v>
          </cell>
          <cell r="M102">
            <v>44866</v>
          </cell>
          <cell r="N102" t="str">
            <v>PS Sadar Khanewal</v>
          </cell>
          <cell r="O102" t="str">
            <v>Guard</v>
          </cell>
          <cell r="P102" t="str">
            <v>Guard Civil Court Khanewal</v>
          </cell>
          <cell r="Q102" t="str">
            <v>Guard Duty</v>
          </cell>
          <cell r="R102">
            <v>45197</v>
          </cell>
        </row>
        <row r="103">
          <cell r="E103" t="str">
            <v>Abdul khalid khan</v>
          </cell>
          <cell r="F103">
            <v>33026</v>
          </cell>
          <cell r="G103">
            <v>42167</v>
          </cell>
          <cell r="H103" t="str">
            <v>BA</v>
          </cell>
          <cell r="I103" t="str">
            <v>Khanewal</v>
          </cell>
          <cell r="J103" t="str">
            <v>Khanewal</v>
          </cell>
          <cell r="K103" t="str">
            <v>Sadar Khanewal</v>
          </cell>
          <cell r="L103" t="str">
            <v>PC-4</v>
          </cell>
          <cell r="M103">
            <v>43256</v>
          </cell>
          <cell r="N103" t="str">
            <v>PS City Khanewal</v>
          </cell>
          <cell r="O103" t="str">
            <v>Guard</v>
          </cell>
          <cell r="P103" t="str">
            <v>Guard Civil Court Khanewal</v>
          </cell>
          <cell r="Q103" t="str">
            <v>Guard Duty</v>
          </cell>
          <cell r="R103">
            <v>45334</v>
          </cell>
        </row>
        <row r="104">
          <cell r="E104" t="str">
            <v>Muhammad Aslam</v>
          </cell>
          <cell r="F104">
            <v>37716</v>
          </cell>
          <cell r="G104">
            <v>45009</v>
          </cell>
          <cell r="H104" t="str">
            <v>I.Cs</v>
          </cell>
          <cell r="I104" t="str">
            <v>Khanewal</v>
          </cell>
          <cell r="J104" t="str">
            <v>Mian Channu</v>
          </cell>
          <cell r="K104" t="str">
            <v>Chab Kalan</v>
          </cell>
          <cell r="L104" t="str">
            <v>Newaly Recruited</v>
          </cell>
          <cell r="M104">
            <v>45009</v>
          </cell>
          <cell r="N104" t="str">
            <v>Police Line</v>
          </cell>
          <cell r="O104" t="str">
            <v>Guard</v>
          </cell>
          <cell r="P104" t="str">
            <v>Guard Civil Court Khanewal</v>
          </cell>
          <cell r="Q104" t="str">
            <v>Guard Duty</v>
          </cell>
          <cell r="R104">
            <v>45467</v>
          </cell>
        </row>
        <row r="105">
          <cell r="E105" t="str">
            <v>Muhammad Ismaeel</v>
          </cell>
          <cell r="F105">
            <v>35492</v>
          </cell>
          <cell r="G105">
            <v>43806</v>
          </cell>
          <cell r="H105" t="str">
            <v>Matric</v>
          </cell>
          <cell r="I105" t="str">
            <v>Khanewal</v>
          </cell>
          <cell r="J105" t="str">
            <v>Khanewal</v>
          </cell>
          <cell r="K105" t="str">
            <v>Makhdoom Pur</v>
          </cell>
          <cell r="L105" t="str">
            <v>Punjab Constabulary</v>
          </cell>
          <cell r="M105">
            <v>45406</v>
          </cell>
          <cell r="N105" t="str">
            <v>PS Sadar Kabirwala</v>
          </cell>
          <cell r="O105" t="str">
            <v>Guard</v>
          </cell>
          <cell r="P105" t="str">
            <v>Guard Civil Court Khanewal</v>
          </cell>
          <cell r="Q105" t="str">
            <v>Guard Duty</v>
          </cell>
          <cell r="R105">
            <v>45523</v>
          </cell>
        </row>
        <row r="106">
          <cell r="E106" t="str">
            <v>Muzammil Hussain</v>
          </cell>
          <cell r="F106">
            <v>36404</v>
          </cell>
          <cell r="G106">
            <v>44823</v>
          </cell>
          <cell r="H106" t="str">
            <v>FA</v>
          </cell>
          <cell r="I106" t="str">
            <v>Khanewal</v>
          </cell>
          <cell r="J106" t="str">
            <v>Khanewal</v>
          </cell>
          <cell r="K106" t="str">
            <v>Sadar Khanewal</v>
          </cell>
          <cell r="L106" t="str">
            <v>Newly Recruited</v>
          </cell>
          <cell r="M106">
            <v>44823</v>
          </cell>
          <cell r="N106" t="str">
            <v>Police Line</v>
          </cell>
          <cell r="O106" t="str">
            <v>Guard</v>
          </cell>
          <cell r="P106" t="str">
            <v>Guard Civil Court Khanewal</v>
          </cell>
          <cell r="Q106" t="str">
            <v>Guard Duty</v>
          </cell>
          <cell r="R106">
            <v>45380</v>
          </cell>
        </row>
        <row r="107">
          <cell r="E107" t="str">
            <v>Muhammad Afzal</v>
          </cell>
          <cell r="F107">
            <v>35335</v>
          </cell>
          <cell r="G107">
            <v>42875</v>
          </cell>
          <cell r="H107" t="str">
            <v>FA</v>
          </cell>
          <cell r="I107" t="str">
            <v>Khanewal</v>
          </cell>
          <cell r="J107" t="str">
            <v>Khanewal</v>
          </cell>
          <cell r="K107" t="str">
            <v>Kacha khu</v>
          </cell>
          <cell r="L107" t="str">
            <v>--</v>
          </cell>
          <cell r="M107">
            <v>42875</v>
          </cell>
          <cell r="N107" t="str">
            <v>Police Line</v>
          </cell>
          <cell r="O107" t="str">
            <v>Guard</v>
          </cell>
          <cell r="P107" t="str">
            <v>Guard Civil Court Khanewal</v>
          </cell>
          <cell r="Q107" t="str">
            <v>Guard Duty</v>
          </cell>
          <cell r="R107">
            <v>45523</v>
          </cell>
        </row>
        <row r="108">
          <cell r="E108">
            <v>0</v>
          </cell>
          <cell r="F108">
            <v>0</v>
          </cell>
          <cell r="G108" t="str">
            <v>--</v>
          </cell>
          <cell r="H108">
            <v>1</v>
          </cell>
          <cell r="I108" t="str">
            <v>--</v>
          </cell>
          <cell r="J108">
            <v>4</v>
          </cell>
          <cell r="K108">
            <v>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E109" t="str">
            <v>Father Name</v>
          </cell>
          <cell r="F109" t="str">
            <v>Date of birth</v>
          </cell>
          <cell r="G109" t="str">
            <v>Date of Recruitment</v>
          </cell>
          <cell r="H109" t="str">
            <v>education</v>
          </cell>
          <cell r="I109" t="str">
            <v>Home District</v>
          </cell>
          <cell r="J109" t="str">
            <v>Home Tehsil</v>
          </cell>
          <cell r="K109" t="str">
            <v>Home Police Station</v>
          </cell>
          <cell r="L109" t="str">
            <v>Arrivel from Dist/Unit.</v>
          </cell>
          <cell r="M109" t="str">
            <v>Date of Posting in this district</v>
          </cell>
          <cell r="N109" t="str">
            <v>Previous Posting</v>
          </cell>
          <cell r="O109" t="str">
            <v>Current PostingUnit</v>
          </cell>
          <cell r="P109" t="str">
            <v>Current Posting</v>
          </cell>
          <cell r="Q109" t="str">
            <v>Posted As</v>
          </cell>
          <cell r="R109" t="str">
            <v>Date of Posting</v>
          </cell>
        </row>
        <row r="110">
          <cell r="E110" t="str">
            <v>Abdul Rehman</v>
          </cell>
          <cell r="F110">
            <v>26488</v>
          </cell>
          <cell r="G110">
            <v>35607</v>
          </cell>
          <cell r="H110" t="str">
            <v>BA</v>
          </cell>
          <cell r="I110" t="str">
            <v>Khanewal</v>
          </cell>
          <cell r="J110" t="str">
            <v>Kabirwala</v>
          </cell>
          <cell r="K110" t="str">
            <v>Abdul Hakim</v>
          </cell>
          <cell r="L110" t="str">
            <v>Traffic</v>
          </cell>
          <cell r="M110">
            <v>45194</v>
          </cell>
          <cell r="N110" t="str">
            <v>Malkhana Sadar Khanewal</v>
          </cell>
          <cell r="O110" t="str">
            <v>Guard</v>
          </cell>
          <cell r="P110" t="str">
            <v>Guard Session Court Khanewal</v>
          </cell>
          <cell r="Q110" t="str">
            <v>Incharge</v>
          </cell>
          <cell r="R110">
            <v>45227</v>
          </cell>
        </row>
        <row r="111">
          <cell r="E111" t="str">
            <v>Nazir Ahmad</v>
          </cell>
          <cell r="F111">
            <v>35530</v>
          </cell>
          <cell r="G111">
            <v>43223</v>
          </cell>
          <cell r="H111" t="str">
            <v>Matric</v>
          </cell>
          <cell r="I111" t="str">
            <v>Khanewal</v>
          </cell>
          <cell r="J111" t="str">
            <v>Khanewal</v>
          </cell>
          <cell r="K111" t="str">
            <v>Khanewal Kohna</v>
          </cell>
          <cell r="L111" t="str">
            <v>PC-3</v>
          </cell>
          <cell r="M111">
            <v>44283</v>
          </cell>
          <cell r="N111" t="str">
            <v>Second Reserve Police Line</v>
          </cell>
          <cell r="O111" t="str">
            <v>Guard</v>
          </cell>
          <cell r="P111" t="str">
            <v>Guard Session Court Khanewal</v>
          </cell>
          <cell r="Q111" t="str">
            <v>Guard Duty</v>
          </cell>
          <cell r="R111">
            <v>44950</v>
          </cell>
        </row>
        <row r="112">
          <cell r="E112" t="str">
            <v>Muhammad  Hassan</v>
          </cell>
          <cell r="F112">
            <v>31031</v>
          </cell>
          <cell r="G112">
            <v>37684</v>
          </cell>
          <cell r="H112" t="str">
            <v>Matric</v>
          </cell>
          <cell r="I112" t="str">
            <v>Khanewal</v>
          </cell>
          <cell r="J112" t="str">
            <v>Khanewal</v>
          </cell>
          <cell r="K112" t="str">
            <v>Kacha khu</v>
          </cell>
          <cell r="L112">
            <v>0</v>
          </cell>
          <cell r="M112">
            <v>39384</v>
          </cell>
          <cell r="N112" t="str">
            <v>Second Reserve Police Line</v>
          </cell>
          <cell r="O112" t="str">
            <v>Guard</v>
          </cell>
          <cell r="P112" t="str">
            <v>Guard Session Court Khanewal</v>
          </cell>
          <cell r="Q112" t="str">
            <v>Guard Duty</v>
          </cell>
          <cell r="R112">
            <v>45078</v>
          </cell>
        </row>
        <row r="113">
          <cell r="E113" t="str">
            <v>Gehna khan</v>
          </cell>
          <cell r="F113">
            <v>31083</v>
          </cell>
          <cell r="G113">
            <v>38764</v>
          </cell>
          <cell r="H113" t="str">
            <v>Matric</v>
          </cell>
          <cell r="I113" t="str">
            <v>Khanewal</v>
          </cell>
          <cell r="J113" t="str">
            <v>Mian Channu</v>
          </cell>
          <cell r="K113" t="str">
            <v>Chab Kalan</v>
          </cell>
          <cell r="L113" t="str">
            <v>--</v>
          </cell>
          <cell r="M113">
            <v>38966</v>
          </cell>
          <cell r="N113" t="str">
            <v xml:space="preserve">Guard SP/Inv. House </v>
          </cell>
          <cell r="O113" t="str">
            <v>Guard</v>
          </cell>
          <cell r="P113" t="str">
            <v>Guard Session Court Khanewal</v>
          </cell>
          <cell r="Q113" t="str">
            <v>Guard Duty</v>
          </cell>
          <cell r="R113">
            <v>45247</v>
          </cell>
        </row>
        <row r="114">
          <cell r="E114" t="str">
            <v>Liaqat Ali</v>
          </cell>
          <cell r="F114">
            <v>35670</v>
          </cell>
          <cell r="G114">
            <v>43806</v>
          </cell>
          <cell r="H114" t="str">
            <v>ICS</v>
          </cell>
          <cell r="I114" t="str">
            <v>Khanewal</v>
          </cell>
          <cell r="J114" t="str">
            <v>Khanewal</v>
          </cell>
          <cell r="K114" t="str">
            <v>Sadar Khanewal</v>
          </cell>
          <cell r="L114" t="str">
            <v>PC</v>
          </cell>
          <cell r="M114">
            <v>45361</v>
          </cell>
          <cell r="N114" t="str">
            <v>Police Line</v>
          </cell>
          <cell r="O114" t="str">
            <v>Guard</v>
          </cell>
          <cell r="P114" t="str">
            <v>Guard Session Court Khanewal</v>
          </cell>
          <cell r="Q114" t="str">
            <v>Guard Duty</v>
          </cell>
          <cell r="R114">
            <v>45471</v>
          </cell>
        </row>
        <row r="115">
          <cell r="E115" t="str">
            <v>Syed Ajaib Ali</v>
          </cell>
          <cell r="F115">
            <v>30076</v>
          </cell>
          <cell r="G115">
            <v>38918</v>
          </cell>
          <cell r="H115" t="str">
            <v>FA</v>
          </cell>
          <cell r="I115" t="str">
            <v>Khanewal</v>
          </cell>
          <cell r="J115" t="str">
            <v>Kabirwala</v>
          </cell>
          <cell r="K115" t="str">
            <v>city kabirwala</v>
          </cell>
          <cell r="L115" t="str">
            <v>--</v>
          </cell>
          <cell r="M115">
            <v>38918</v>
          </cell>
          <cell r="N115" t="str">
            <v>Police Line</v>
          </cell>
          <cell r="O115" t="str">
            <v>Guard</v>
          </cell>
          <cell r="P115" t="str">
            <v>Guard Session Court Khanewal</v>
          </cell>
          <cell r="Q115" t="str">
            <v>Guard Duty</v>
          </cell>
          <cell r="R115">
            <v>45523</v>
          </cell>
        </row>
        <row r="116">
          <cell r="E116">
            <v>0</v>
          </cell>
          <cell r="F116">
            <v>0</v>
          </cell>
          <cell r="G116" t="str">
            <v>--</v>
          </cell>
          <cell r="H116" t="str">
            <v>--</v>
          </cell>
          <cell r="I116">
            <v>2</v>
          </cell>
          <cell r="J116">
            <v>4</v>
          </cell>
          <cell r="K116" t="str">
            <v>--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E117" t="str">
            <v>Father Name</v>
          </cell>
          <cell r="F117" t="str">
            <v>Date of birth</v>
          </cell>
          <cell r="G117" t="str">
            <v>Date of Recruitment</v>
          </cell>
          <cell r="H117" t="str">
            <v>education</v>
          </cell>
          <cell r="I117" t="str">
            <v>Home District</v>
          </cell>
          <cell r="J117" t="str">
            <v>Home Tehsil</v>
          </cell>
          <cell r="K117" t="str">
            <v>Home Police Station</v>
          </cell>
          <cell r="L117" t="str">
            <v>Arrivel from Dist/Unit.</v>
          </cell>
          <cell r="M117" t="str">
            <v>Date of Posting in this district</v>
          </cell>
          <cell r="N117" t="str">
            <v>Previous Posting</v>
          </cell>
          <cell r="O117" t="str">
            <v>Current PostingUnit</v>
          </cell>
          <cell r="P117" t="str">
            <v>Current Posting</v>
          </cell>
          <cell r="Q117" t="str">
            <v>Posted As</v>
          </cell>
          <cell r="R117" t="str">
            <v>Date of Posting</v>
          </cell>
        </row>
        <row r="118">
          <cell r="E118" t="str">
            <v xml:space="preserve">Ghulam Nabi </v>
          </cell>
          <cell r="F118">
            <v>24838</v>
          </cell>
          <cell r="G118">
            <v>33324</v>
          </cell>
          <cell r="H118" t="str">
            <v>Matric</v>
          </cell>
          <cell r="I118" t="str">
            <v>Khanewal</v>
          </cell>
          <cell r="J118" t="str">
            <v>Jehanian</v>
          </cell>
          <cell r="K118" t="str">
            <v>Jehanian</v>
          </cell>
          <cell r="L118">
            <v>0</v>
          </cell>
          <cell r="M118">
            <v>33442</v>
          </cell>
          <cell r="N118" t="str">
            <v>PS Kacha Khu</v>
          </cell>
          <cell r="O118" t="str">
            <v>Guard</v>
          </cell>
          <cell r="P118" t="str">
            <v>Guard Session House Khanewal</v>
          </cell>
          <cell r="Q118" t="str">
            <v>Incharge</v>
          </cell>
          <cell r="R118">
            <v>45558</v>
          </cell>
        </row>
        <row r="119">
          <cell r="E119" t="str">
            <v>Sher Muhammad</v>
          </cell>
          <cell r="F119">
            <v>32126</v>
          </cell>
          <cell r="G119">
            <v>39910</v>
          </cell>
          <cell r="H119" t="str">
            <v>FA</v>
          </cell>
          <cell r="I119" t="str">
            <v>Khanewal</v>
          </cell>
          <cell r="J119" t="str">
            <v>Khanewal</v>
          </cell>
          <cell r="K119" t="str">
            <v>Makhdom pur</v>
          </cell>
          <cell r="L119" t="str">
            <v xml:space="preserve">CTD </v>
          </cell>
          <cell r="M119">
            <v>44058</v>
          </cell>
          <cell r="N119" t="str">
            <v>Guard Circuit House Khanewal</v>
          </cell>
          <cell r="O119" t="str">
            <v>Guard</v>
          </cell>
          <cell r="P119" t="str">
            <v>Guard Session House Khanewal</v>
          </cell>
          <cell r="Q119" t="str">
            <v>Incharge</v>
          </cell>
          <cell r="R119">
            <v>45548</v>
          </cell>
        </row>
        <row r="120">
          <cell r="E120" t="str">
            <v>Abdul Sattar</v>
          </cell>
          <cell r="F120">
            <v>31367</v>
          </cell>
          <cell r="G120">
            <v>40543</v>
          </cell>
          <cell r="H120" t="str">
            <v>BA</v>
          </cell>
          <cell r="I120" t="str">
            <v>Khanewal</v>
          </cell>
          <cell r="J120" t="str">
            <v>Kabirwala</v>
          </cell>
          <cell r="K120" t="str">
            <v>Saddar Kabirwala</v>
          </cell>
          <cell r="L120" t="str">
            <v>PC-6 Farooqabad</v>
          </cell>
          <cell r="M120">
            <v>44620</v>
          </cell>
          <cell r="N120" t="str">
            <v>Guard NBP Khanewal</v>
          </cell>
          <cell r="O120" t="str">
            <v>Guard</v>
          </cell>
          <cell r="P120" t="str">
            <v>Guard Session House Khanewal</v>
          </cell>
          <cell r="Q120" t="str">
            <v>Guard Duty</v>
          </cell>
          <cell r="R120">
            <v>45558</v>
          </cell>
        </row>
        <row r="121">
          <cell r="E121" t="str">
            <v>Ghazanfar Ali</v>
          </cell>
          <cell r="F121">
            <v>29590</v>
          </cell>
          <cell r="G121">
            <v>37512</v>
          </cell>
          <cell r="H121" t="str">
            <v>FA</v>
          </cell>
          <cell r="I121" t="str">
            <v>Khanewal</v>
          </cell>
          <cell r="J121" t="str">
            <v>Khanewal</v>
          </cell>
          <cell r="K121" t="str">
            <v>Makhdom pur</v>
          </cell>
          <cell r="L121" t="str">
            <v>PC Farooqabad</v>
          </cell>
          <cell r="M121">
            <v>39535</v>
          </cell>
          <cell r="N121" t="str">
            <v>Police Line</v>
          </cell>
          <cell r="O121" t="str">
            <v>Guard</v>
          </cell>
          <cell r="P121" t="str">
            <v>Guard Session House Khanewal</v>
          </cell>
          <cell r="Q121" t="str">
            <v>Guard Duty</v>
          </cell>
          <cell r="R121">
            <v>45548</v>
          </cell>
        </row>
        <row r="122">
          <cell r="E122" t="str">
            <v>Muhammad sharif</v>
          </cell>
          <cell r="F122">
            <v>26299</v>
          </cell>
          <cell r="G122">
            <v>34225</v>
          </cell>
          <cell r="H122" t="str">
            <v>Under Matric</v>
          </cell>
          <cell r="I122" t="str">
            <v>Khanewal</v>
          </cell>
          <cell r="J122" t="str">
            <v>Khanewal</v>
          </cell>
          <cell r="K122" t="str">
            <v>Kacha khu</v>
          </cell>
          <cell r="L122">
            <v>0</v>
          </cell>
          <cell r="M122">
            <v>37496</v>
          </cell>
          <cell r="N122" t="str">
            <v>PS City Khanewal</v>
          </cell>
          <cell r="O122" t="str">
            <v>Guard</v>
          </cell>
          <cell r="P122" t="str">
            <v>Guard Session House Khanewal</v>
          </cell>
          <cell r="Q122" t="str">
            <v>Guard Duty</v>
          </cell>
          <cell r="R122">
            <v>45548</v>
          </cell>
        </row>
        <row r="123">
          <cell r="E123" t="str">
            <v>Habib Ullah</v>
          </cell>
          <cell r="F123">
            <v>34005</v>
          </cell>
          <cell r="G123">
            <v>42116</v>
          </cell>
          <cell r="H123" t="str">
            <v>FSc</v>
          </cell>
          <cell r="I123" t="str">
            <v>Khanewal</v>
          </cell>
          <cell r="J123" t="str">
            <v>KAbirwala</v>
          </cell>
          <cell r="K123" t="str">
            <v>Sadar Kabirwala</v>
          </cell>
          <cell r="L123" t="str">
            <v>PC-3</v>
          </cell>
          <cell r="M123">
            <v>43256</v>
          </cell>
          <cell r="N123" t="str">
            <v>Guard DCO House Khanewal</v>
          </cell>
          <cell r="O123" t="str">
            <v>Guard</v>
          </cell>
          <cell r="P123" t="str">
            <v>Guard Session House Khanewal</v>
          </cell>
          <cell r="Q123" t="str">
            <v>Guard Duty</v>
          </cell>
          <cell r="R123">
            <v>45561</v>
          </cell>
        </row>
        <row r="124">
          <cell r="E124">
            <v>0</v>
          </cell>
          <cell r="F124">
            <v>0</v>
          </cell>
          <cell r="G124" t="str">
            <v>--</v>
          </cell>
          <cell r="H124" t="str">
            <v>--</v>
          </cell>
          <cell r="I124">
            <v>1</v>
          </cell>
          <cell r="J124">
            <v>4</v>
          </cell>
          <cell r="K124" t="str">
            <v>--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E125" t="str">
            <v>Father Name</v>
          </cell>
          <cell r="F125" t="str">
            <v>Date of birth</v>
          </cell>
          <cell r="G125" t="str">
            <v>Date of Recruitment</v>
          </cell>
          <cell r="H125" t="str">
            <v>education</v>
          </cell>
          <cell r="I125" t="str">
            <v>Home District</v>
          </cell>
          <cell r="J125" t="str">
            <v>Home Tehsil</v>
          </cell>
          <cell r="K125" t="str">
            <v>Home Police Station</v>
          </cell>
          <cell r="L125" t="str">
            <v>Arrivel from Dist/Unit.</v>
          </cell>
          <cell r="M125" t="str">
            <v>Date of Posting in this district</v>
          </cell>
          <cell r="N125" t="str">
            <v>Previous Posting</v>
          </cell>
          <cell r="O125" t="str">
            <v>Current PostingUnit</v>
          </cell>
          <cell r="P125" t="str">
            <v>Current Posting</v>
          </cell>
          <cell r="Q125" t="str">
            <v>Posted As</v>
          </cell>
          <cell r="R125" t="str">
            <v>Date of Posting</v>
          </cell>
        </row>
        <row r="126">
          <cell r="E126" t="str">
            <v>Muhammad Din</v>
          </cell>
          <cell r="F126">
            <v>30781</v>
          </cell>
          <cell r="G126">
            <v>39910</v>
          </cell>
          <cell r="H126" t="str">
            <v>B.Sc</v>
          </cell>
          <cell r="I126" t="str">
            <v>Khanewal</v>
          </cell>
          <cell r="J126" t="str">
            <v>Khanewal</v>
          </cell>
          <cell r="K126" t="str">
            <v>City Khanewal</v>
          </cell>
          <cell r="L126" t="str">
            <v>PC-3 Multan</v>
          </cell>
          <cell r="M126">
            <v>44648</v>
          </cell>
          <cell r="N126" t="str">
            <v>Guard Khazana Khanewal</v>
          </cell>
          <cell r="O126" t="str">
            <v>Guard</v>
          </cell>
          <cell r="P126" t="str">
            <v>Guard Judges Colony Khanewal</v>
          </cell>
          <cell r="Q126" t="str">
            <v>Incharge</v>
          </cell>
          <cell r="R126">
            <v>45548</v>
          </cell>
        </row>
        <row r="127">
          <cell r="E127" t="str">
            <v xml:space="preserve">Charagh Muhammad </v>
          </cell>
          <cell r="F127">
            <v>26120</v>
          </cell>
          <cell r="G127">
            <v>32981</v>
          </cell>
          <cell r="H127" t="str">
            <v>Matric</v>
          </cell>
          <cell r="I127" t="str">
            <v>Khanewal</v>
          </cell>
          <cell r="J127" t="str">
            <v>Khanewal</v>
          </cell>
          <cell r="K127" t="str">
            <v>Makhdom pur</v>
          </cell>
          <cell r="L127">
            <v>0</v>
          </cell>
          <cell r="M127">
            <v>35959</v>
          </cell>
          <cell r="N127" t="str">
            <v>Police Line</v>
          </cell>
          <cell r="O127" t="str">
            <v>Guard</v>
          </cell>
          <cell r="P127" t="str">
            <v>Guard Judges Colony Khanewal</v>
          </cell>
          <cell r="Q127" t="str">
            <v>Incharge (iLL)</v>
          </cell>
          <cell r="R127">
            <v>45558</v>
          </cell>
        </row>
        <row r="128">
          <cell r="E128" t="str">
            <v>Manzoor Hussain</v>
          </cell>
          <cell r="F128">
            <v>25326</v>
          </cell>
          <cell r="G128">
            <v>33471</v>
          </cell>
          <cell r="H128" t="str">
            <v>Matric</v>
          </cell>
          <cell r="I128" t="str">
            <v>Khanewal</v>
          </cell>
          <cell r="J128" t="str">
            <v>Khanewal</v>
          </cell>
          <cell r="K128" t="str">
            <v>Saddar Khanewal</v>
          </cell>
          <cell r="L128">
            <v>0</v>
          </cell>
          <cell r="M128">
            <v>33470</v>
          </cell>
          <cell r="N128" t="str">
            <v>Guard Khazana Khanewal</v>
          </cell>
          <cell r="O128" t="str">
            <v>Guard</v>
          </cell>
          <cell r="P128" t="str">
            <v>Guard Judges Colony Khanewal</v>
          </cell>
          <cell r="Q128" t="str">
            <v>Guard Duty</v>
          </cell>
          <cell r="R128">
            <v>45548</v>
          </cell>
        </row>
        <row r="129">
          <cell r="E129" t="str">
            <v>Sardar Ali</v>
          </cell>
          <cell r="F129">
            <v>31784</v>
          </cell>
          <cell r="G129">
            <v>40543</v>
          </cell>
          <cell r="H129" t="str">
            <v>BA</v>
          </cell>
          <cell r="I129" t="str">
            <v>Khanewal</v>
          </cell>
          <cell r="J129" t="str">
            <v>khanewal</v>
          </cell>
          <cell r="K129" t="str">
            <v>Sadar Khanewal</v>
          </cell>
          <cell r="L129" t="str">
            <v>PC-5</v>
          </cell>
          <cell r="M129">
            <v>45117</v>
          </cell>
          <cell r="N129" t="str">
            <v>Guard Civil Court Khanewal</v>
          </cell>
          <cell r="O129" t="str">
            <v>Guard</v>
          </cell>
          <cell r="P129" t="str">
            <v>Guard Judges Colony Khanewal</v>
          </cell>
          <cell r="Q129" t="str">
            <v>Guard Duty</v>
          </cell>
          <cell r="R129">
            <v>45548</v>
          </cell>
        </row>
        <row r="130">
          <cell r="E130" t="str">
            <v>Muhammad Riaz</v>
          </cell>
          <cell r="F130">
            <v>35809</v>
          </cell>
          <cell r="G130">
            <v>43223</v>
          </cell>
          <cell r="H130" t="str">
            <v>Matric</v>
          </cell>
          <cell r="I130" t="str">
            <v>Khanewal</v>
          </cell>
          <cell r="J130" t="str">
            <v>Mian Channu</v>
          </cell>
          <cell r="K130" t="str">
            <v>Tulamba</v>
          </cell>
          <cell r="L130" t="str">
            <v>PC-5, Lahore</v>
          </cell>
          <cell r="M130">
            <v>44337</v>
          </cell>
          <cell r="N130" t="str">
            <v>Guard Judicial Rest House Khanewal</v>
          </cell>
          <cell r="O130" t="str">
            <v>Guard</v>
          </cell>
          <cell r="P130" t="str">
            <v>Guard Judges Colony Khanewal</v>
          </cell>
          <cell r="Q130" t="str">
            <v>Guard Duty</v>
          </cell>
          <cell r="R130">
            <v>45548</v>
          </cell>
        </row>
        <row r="131">
          <cell r="E131">
            <v>0</v>
          </cell>
          <cell r="F131">
            <v>0</v>
          </cell>
          <cell r="G131" t="str">
            <v>--</v>
          </cell>
          <cell r="H131" t="str">
            <v>--</v>
          </cell>
          <cell r="I131" t="str">
            <v>--</v>
          </cell>
          <cell r="J131">
            <v>2</v>
          </cell>
          <cell r="K131" t="str">
            <v>--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E132" t="str">
            <v>Father Name</v>
          </cell>
          <cell r="F132" t="str">
            <v>Date of birth</v>
          </cell>
          <cell r="G132" t="str">
            <v>Date of Recruitment</v>
          </cell>
          <cell r="H132" t="str">
            <v>education</v>
          </cell>
          <cell r="I132" t="str">
            <v>Home District</v>
          </cell>
          <cell r="J132" t="str">
            <v>Home Tehsil</v>
          </cell>
          <cell r="K132" t="str">
            <v>Home Police Station</v>
          </cell>
          <cell r="L132" t="str">
            <v>Arrivel from Dist/Unit.</v>
          </cell>
          <cell r="M132" t="str">
            <v>Date of Posting in this district</v>
          </cell>
          <cell r="N132" t="str">
            <v>Previous Posting</v>
          </cell>
          <cell r="O132" t="str">
            <v>Current PostingUnit</v>
          </cell>
          <cell r="P132" t="str">
            <v>Current Posting</v>
          </cell>
          <cell r="Q132" t="str">
            <v>Posted As</v>
          </cell>
          <cell r="R132" t="str">
            <v>Date of Posting</v>
          </cell>
        </row>
        <row r="133">
          <cell r="E133" t="str">
            <v>Ghulam Rasool</v>
          </cell>
          <cell r="F133">
            <v>35499</v>
          </cell>
          <cell r="G133">
            <v>43223</v>
          </cell>
          <cell r="H133" t="str">
            <v>DAE</v>
          </cell>
          <cell r="I133" t="str">
            <v>Khanewal</v>
          </cell>
          <cell r="J133" t="str">
            <v>Khanewal</v>
          </cell>
          <cell r="K133" t="str">
            <v>Makhdoom Pur</v>
          </cell>
          <cell r="L133" t="str">
            <v>PC-3</v>
          </cell>
          <cell r="M133">
            <v>44283</v>
          </cell>
          <cell r="N133" t="str">
            <v>Guard NBP Khanewal</v>
          </cell>
          <cell r="O133" t="str">
            <v>Guard</v>
          </cell>
          <cell r="P133" t="str">
            <v>Guard Judicial Rest House Khanewal</v>
          </cell>
          <cell r="Q133" t="str">
            <v>Transferred</v>
          </cell>
          <cell r="R133">
            <v>45558</v>
          </cell>
        </row>
        <row r="134">
          <cell r="E134" t="str">
            <v>Shahbaz Hussain</v>
          </cell>
          <cell r="F134">
            <v>34335</v>
          </cell>
          <cell r="G134">
            <v>41043</v>
          </cell>
          <cell r="H134" t="str">
            <v>Matric</v>
          </cell>
          <cell r="I134" t="str">
            <v>Khanewal</v>
          </cell>
          <cell r="J134" t="str">
            <v>Mian Channu</v>
          </cell>
          <cell r="K134" t="str">
            <v>Tulamba</v>
          </cell>
          <cell r="L134" t="str">
            <v>PC-3 Multan</v>
          </cell>
          <cell r="M134">
            <v>44214</v>
          </cell>
          <cell r="N134" t="str">
            <v>Guard DCO Office Khanewal</v>
          </cell>
          <cell r="O134" t="str">
            <v>Guard</v>
          </cell>
          <cell r="P134" t="str">
            <v>Guard Judicial Rest House Khanewal</v>
          </cell>
          <cell r="Q134" t="str">
            <v>Guard Duty</v>
          </cell>
          <cell r="R134">
            <v>45548</v>
          </cell>
        </row>
        <row r="135">
          <cell r="E135">
            <v>0</v>
          </cell>
          <cell r="F135">
            <v>0</v>
          </cell>
          <cell r="G135" t="str">
            <v>--</v>
          </cell>
          <cell r="H135" t="str">
            <v>--</v>
          </cell>
          <cell r="I135" t="str">
            <v>--</v>
          </cell>
          <cell r="J135">
            <v>2</v>
          </cell>
          <cell r="K135" t="str">
            <v>--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E136" t="str">
            <v>Father Name</v>
          </cell>
          <cell r="F136" t="str">
            <v>Date of birth</v>
          </cell>
          <cell r="G136" t="str">
            <v>Date of Recruitment</v>
          </cell>
          <cell r="H136" t="str">
            <v>education</v>
          </cell>
          <cell r="I136" t="str">
            <v>Home District</v>
          </cell>
          <cell r="J136" t="str">
            <v>Home Tehsil</v>
          </cell>
          <cell r="K136" t="str">
            <v>Home Police Station</v>
          </cell>
          <cell r="L136" t="str">
            <v>Arrivel from Dist/Unit.</v>
          </cell>
          <cell r="M136" t="str">
            <v>Date of Posting in this district</v>
          </cell>
          <cell r="N136" t="str">
            <v>Previous Posting</v>
          </cell>
          <cell r="O136" t="str">
            <v>Current PostingUnit</v>
          </cell>
          <cell r="P136" t="str">
            <v>Current Posting</v>
          </cell>
          <cell r="Q136" t="str">
            <v>Posted As</v>
          </cell>
          <cell r="R136" t="str">
            <v>Date of Posting</v>
          </cell>
        </row>
        <row r="137">
          <cell r="E137" t="str">
            <v>Muhammad Ashraf</v>
          </cell>
          <cell r="F137">
            <v>31790</v>
          </cell>
          <cell r="G137">
            <v>39910</v>
          </cell>
          <cell r="H137" t="str">
            <v>FA</v>
          </cell>
          <cell r="I137" t="str">
            <v>Khanewal</v>
          </cell>
          <cell r="J137" t="str">
            <v>Kabirwala</v>
          </cell>
          <cell r="K137" t="str">
            <v>Sadar Kabirwala</v>
          </cell>
          <cell r="L137" t="str">
            <v>PC-3 Multan</v>
          </cell>
          <cell r="M137">
            <v>44757</v>
          </cell>
          <cell r="N137" t="str">
            <v>Police Line</v>
          </cell>
          <cell r="O137" t="str">
            <v>Guard</v>
          </cell>
          <cell r="P137" t="str">
            <v>Guard CTD Office Khanewal</v>
          </cell>
          <cell r="Q137" t="str">
            <v>Guard Duty</v>
          </cell>
          <cell r="R137">
            <v>44764</v>
          </cell>
        </row>
        <row r="138">
          <cell r="E138" t="str">
            <v>Ghulam Rasool</v>
          </cell>
          <cell r="F138">
            <v>31413</v>
          </cell>
          <cell r="G138">
            <v>39910</v>
          </cell>
          <cell r="H138" t="str">
            <v>FA</v>
          </cell>
          <cell r="I138" t="str">
            <v>Khanewal</v>
          </cell>
          <cell r="J138" t="str">
            <v>Khanewal</v>
          </cell>
          <cell r="K138" t="str">
            <v>City Khanewal</v>
          </cell>
          <cell r="L138">
            <v>0</v>
          </cell>
          <cell r="M138">
            <v>39910</v>
          </cell>
          <cell r="N138" t="str">
            <v>Judicial Duty Police Line</v>
          </cell>
          <cell r="O138" t="str">
            <v>Guard</v>
          </cell>
          <cell r="P138" t="str">
            <v>Guard CTD Office Khanewal</v>
          </cell>
          <cell r="Q138" t="str">
            <v>Guard Duty</v>
          </cell>
          <cell r="R138">
            <v>45197</v>
          </cell>
        </row>
        <row r="139">
          <cell r="E139">
            <v>0</v>
          </cell>
          <cell r="F139">
            <v>0</v>
          </cell>
          <cell r="G139" t="str">
            <v>--</v>
          </cell>
          <cell r="H139" t="str">
            <v>--</v>
          </cell>
          <cell r="I139">
            <v>1</v>
          </cell>
          <cell r="J139">
            <v>2</v>
          </cell>
          <cell r="K139" t="str">
            <v>--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E140" t="str">
            <v>Father Name</v>
          </cell>
          <cell r="F140" t="str">
            <v>Date of birth</v>
          </cell>
          <cell r="G140" t="str">
            <v>Date of Recruitment</v>
          </cell>
          <cell r="H140" t="str">
            <v>education</v>
          </cell>
          <cell r="I140" t="str">
            <v>Home District</v>
          </cell>
          <cell r="J140" t="str">
            <v>Home Tehsil</v>
          </cell>
          <cell r="K140" t="str">
            <v>Home Police Station</v>
          </cell>
          <cell r="L140" t="str">
            <v>Arrivel from Dist/Unit.</v>
          </cell>
          <cell r="M140" t="str">
            <v>Date of Posting in this district</v>
          </cell>
          <cell r="N140" t="str">
            <v>Previous Posting</v>
          </cell>
          <cell r="O140" t="str">
            <v>Current PostingUnit</v>
          </cell>
          <cell r="P140" t="str">
            <v>Current Posting</v>
          </cell>
          <cell r="Q140" t="str">
            <v>Posted As</v>
          </cell>
          <cell r="R140" t="str">
            <v>Date of Posting</v>
          </cell>
        </row>
        <row r="141">
          <cell r="E141" t="str">
            <v>Sardar Khan</v>
          </cell>
          <cell r="F141">
            <v>24474</v>
          </cell>
          <cell r="G141">
            <v>32624</v>
          </cell>
          <cell r="H141" t="str">
            <v>BA</v>
          </cell>
          <cell r="I141" t="str">
            <v>Khanewal</v>
          </cell>
          <cell r="J141" t="str">
            <v>Khanewal</v>
          </cell>
          <cell r="K141" t="str">
            <v>City Khanewal</v>
          </cell>
          <cell r="L141" t="str">
            <v>--</v>
          </cell>
          <cell r="M141">
            <v>32624</v>
          </cell>
          <cell r="N141" t="str">
            <v>PS Sadar Khanewal</v>
          </cell>
          <cell r="O141" t="str">
            <v>Guard</v>
          </cell>
          <cell r="P141" t="str">
            <v>Guard Special Branch Khanewal</v>
          </cell>
          <cell r="Q141" t="str">
            <v>Incharge</v>
          </cell>
          <cell r="R141">
            <v>45005</v>
          </cell>
        </row>
        <row r="142">
          <cell r="E142" t="str">
            <v xml:space="preserve">Khalil Ahmed </v>
          </cell>
          <cell r="F142">
            <v>30067</v>
          </cell>
          <cell r="G142">
            <v>38884</v>
          </cell>
          <cell r="H142" t="str">
            <v>FA</v>
          </cell>
          <cell r="I142" t="str">
            <v>Khanewal</v>
          </cell>
          <cell r="J142" t="str">
            <v>Khanewal</v>
          </cell>
          <cell r="K142" t="str">
            <v>City Khanewal</v>
          </cell>
          <cell r="L142" t="str">
            <v>--</v>
          </cell>
          <cell r="M142">
            <v>38904</v>
          </cell>
          <cell r="N142" t="str">
            <v>Guard Special Branch Khanewal</v>
          </cell>
          <cell r="O142" t="str">
            <v>Guard</v>
          </cell>
          <cell r="P142" t="str">
            <v>Guard Special Branch Khanewal</v>
          </cell>
          <cell r="Q142" t="str">
            <v>Guard Duty</v>
          </cell>
          <cell r="R142">
            <v>45548</v>
          </cell>
        </row>
        <row r="143">
          <cell r="E143" t="str">
            <v>Muhammad Anwar</v>
          </cell>
          <cell r="F143">
            <v>24939</v>
          </cell>
          <cell r="G143">
            <v>33152</v>
          </cell>
          <cell r="H143" t="str">
            <v>Matric</v>
          </cell>
          <cell r="I143" t="str">
            <v>Khanewal</v>
          </cell>
          <cell r="J143" t="str">
            <v>Khanewal</v>
          </cell>
          <cell r="K143" t="str">
            <v>Khanewal Kohna</v>
          </cell>
          <cell r="L143">
            <v>0</v>
          </cell>
          <cell r="M143">
            <v>33152</v>
          </cell>
          <cell r="N143" t="str">
            <v>Guard Special Branch Khanewal</v>
          </cell>
          <cell r="O143" t="str">
            <v>Guard</v>
          </cell>
          <cell r="P143" t="str">
            <v>Guard Special Branch Khanewal</v>
          </cell>
          <cell r="Q143" t="str">
            <v>Guard Duty</v>
          </cell>
          <cell r="R143">
            <v>45548</v>
          </cell>
        </row>
        <row r="144">
          <cell r="E144">
            <v>0</v>
          </cell>
          <cell r="F144">
            <v>0</v>
          </cell>
          <cell r="G144" t="str">
            <v>--</v>
          </cell>
          <cell r="H144" t="str">
            <v>--</v>
          </cell>
          <cell r="I144" t="str">
            <v>--</v>
          </cell>
          <cell r="J144">
            <v>2</v>
          </cell>
          <cell r="K144" t="str">
            <v>--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E145" t="str">
            <v>Father Name</v>
          </cell>
          <cell r="F145" t="str">
            <v>Date of birth</v>
          </cell>
          <cell r="G145" t="str">
            <v>Date of Recruitment</v>
          </cell>
          <cell r="H145" t="str">
            <v>education</v>
          </cell>
          <cell r="I145" t="str">
            <v>Home District</v>
          </cell>
          <cell r="J145" t="str">
            <v>Home Tehsil</v>
          </cell>
          <cell r="K145" t="str">
            <v>Home Police Station</v>
          </cell>
          <cell r="L145" t="str">
            <v>Arrivel from Dist/Unit.</v>
          </cell>
          <cell r="M145" t="str">
            <v>Date of Posting in this district</v>
          </cell>
          <cell r="N145" t="str">
            <v>Previous Posting</v>
          </cell>
          <cell r="O145" t="str">
            <v>Current PostingUnit</v>
          </cell>
          <cell r="P145" t="str">
            <v>Current Posting</v>
          </cell>
          <cell r="Q145" t="str">
            <v>Posted As</v>
          </cell>
          <cell r="R145" t="str">
            <v>Date of Posting</v>
          </cell>
        </row>
        <row r="146">
          <cell r="E146" t="str">
            <v>Syd Altaf Ahmad</v>
          </cell>
          <cell r="F146">
            <v>30420</v>
          </cell>
          <cell r="G146">
            <v>38875</v>
          </cell>
          <cell r="H146" t="str">
            <v>FA</v>
          </cell>
          <cell r="I146" t="str">
            <v>Khanewal</v>
          </cell>
          <cell r="J146" t="str">
            <v>Khanewal</v>
          </cell>
          <cell r="K146" t="str">
            <v>City Khanewal</v>
          </cell>
          <cell r="L146" t="str">
            <v>--</v>
          </cell>
          <cell r="M146">
            <v>38918</v>
          </cell>
          <cell r="N146" t="str">
            <v>Guard Judges Colony Khanewal</v>
          </cell>
          <cell r="O146" t="str">
            <v>Guard</v>
          </cell>
          <cell r="P146" t="str">
            <v>Guard IB Khanewal</v>
          </cell>
          <cell r="Q146" t="str">
            <v>Guard Duty</v>
          </cell>
          <cell r="R146">
            <v>44764</v>
          </cell>
        </row>
        <row r="147">
          <cell r="E147" t="str">
            <v>Haji Imam Bukhsh</v>
          </cell>
          <cell r="F147">
            <v>30714</v>
          </cell>
          <cell r="G147">
            <v>38918</v>
          </cell>
          <cell r="H147" t="str">
            <v>FA</v>
          </cell>
          <cell r="I147" t="str">
            <v>Khanewal</v>
          </cell>
          <cell r="J147" t="str">
            <v>Jehanian</v>
          </cell>
          <cell r="K147" t="str">
            <v>Jehanian</v>
          </cell>
          <cell r="L147" t="str">
            <v>--</v>
          </cell>
          <cell r="M147">
            <v>38827</v>
          </cell>
          <cell r="N147" t="str">
            <v>Police Line</v>
          </cell>
          <cell r="O147" t="str">
            <v>Guard</v>
          </cell>
          <cell r="P147" t="str">
            <v>Guard IB Khanewal</v>
          </cell>
          <cell r="Q147" t="str">
            <v>Guard Duty</v>
          </cell>
          <cell r="R147">
            <v>44950</v>
          </cell>
        </row>
        <row r="148">
          <cell r="E148">
            <v>0</v>
          </cell>
          <cell r="F148">
            <v>0</v>
          </cell>
          <cell r="G148" t="str">
            <v>--</v>
          </cell>
          <cell r="H148" t="str">
            <v>--</v>
          </cell>
          <cell r="I148" t="str">
            <v>--</v>
          </cell>
          <cell r="J148">
            <v>3</v>
          </cell>
          <cell r="K148" t="str">
            <v>--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E149" t="str">
            <v>Father Name</v>
          </cell>
          <cell r="F149" t="str">
            <v>Date of birth</v>
          </cell>
          <cell r="G149" t="str">
            <v>Date of Recruitment</v>
          </cell>
          <cell r="H149" t="str">
            <v>education</v>
          </cell>
          <cell r="I149" t="str">
            <v>Home District</v>
          </cell>
          <cell r="J149" t="str">
            <v>Home Tehsil</v>
          </cell>
          <cell r="K149" t="str">
            <v>Home Police Station</v>
          </cell>
          <cell r="L149" t="str">
            <v>Arrivel from Dist/Unit.</v>
          </cell>
          <cell r="M149" t="str">
            <v>Date of Posting in this district</v>
          </cell>
          <cell r="N149" t="str">
            <v>Previous Posting</v>
          </cell>
          <cell r="O149" t="str">
            <v>Current PostingUnit</v>
          </cell>
          <cell r="P149" t="str">
            <v>Current Posting</v>
          </cell>
          <cell r="Q149" t="str">
            <v>Posted As</v>
          </cell>
          <cell r="R149" t="str">
            <v>Date of Posting</v>
          </cell>
        </row>
        <row r="150">
          <cell r="E150" t="str">
            <v xml:space="preserve">Muhammad Khan </v>
          </cell>
          <cell r="F150">
            <v>27791</v>
          </cell>
          <cell r="G150">
            <v>35463</v>
          </cell>
          <cell r="H150" t="str">
            <v>Matric</v>
          </cell>
          <cell r="I150" t="str">
            <v>Jhang</v>
          </cell>
          <cell r="J150" t="str">
            <v>Jhang</v>
          </cell>
          <cell r="K150" t="str">
            <v>Jewaana</v>
          </cell>
          <cell r="L150">
            <v>0</v>
          </cell>
          <cell r="M150">
            <v>35463</v>
          </cell>
          <cell r="N150" t="str">
            <v>Police Line</v>
          </cell>
          <cell r="O150" t="str">
            <v>Guard</v>
          </cell>
          <cell r="P150" t="str">
            <v>Guard ISI Robert House</v>
          </cell>
          <cell r="Q150" t="str">
            <v>Gard Duty</v>
          </cell>
          <cell r="R150">
            <v>43741</v>
          </cell>
        </row>
        <row r="151">
          <cell r="E151" t="str">
            <v>Ghulam Nabi</v>
          </cell>
          <cell r="F151">
            <v>34409</v>
          </cell>
          <cell r="G151">
            <v>42116</v>
          </cell>
          <cell r="H151" t="str">
            <v>FSc</v>
          </cell>
          <cell r="I151" t="str">
            <v>Khanewal</v>
          </cell>
          <cell r="J151" t="str">
            <v>Jahanian</v>
          </cell>
          <cell r="K151" t="str">
            <v>Jahanian</v>
          </cell>
          <cell r="L151" t="str">
            <v>PC-3</v>
          </cell>
          <cell r="M151">
            <v>43256</v>
          </cell>
          <cell r="N151" t="str">
            <v>Naib Court Jahanian</v>
          </cell>
          <cell r="O151" t="str">
            <v>Guard</v>
          </cell>
          <cell r="P151" t="str">
            <v>Guard ISI Robert House</v>
          </cell>
          <cell r="Q151" t="str">
            <v>Guard Duty</v>
          </cell>
          <cell r="R151">
            <v>45175</v>
          </cell>
        </row>
        <row r="152">
          <cell r="E152" t="str">
            <v>Allah Ditta</v>
          </cell>
          <cell r="F152">
            <v>33332</v>
          </cell>
          <cell r="G152">
            <v>42116</v>
          </cell>
          <cell r="H152" t="str">
            <v>BA</v>
          </cell>
          <cell r="I152" t="str">
            <v>Khanewal</v>
          </cell>
          <cell r="J152" t="str">
            <v>Jahanian</v>
          </cell>
          <cell r="K152" t="str">
            <v>Jahanian</v>
          </cell>
          <cell r="L152" t="str">
            <v>PC-3</v>
          </cell>
          <cell r="M152">
            <v>43234</v>
          </cell>
          <cell r="N152" t="str">
            <v>PS Thatha Sadiqabad</v>
          </cell>
          <cell r="O152" t="str">
            <v>Guard</v>
          </cell>
          <cell r="P152" t="str">
            <v>Guard ISI Robert House</v>
          </cell>
          <cell r="Q152" t="str">
            <v>Guard Duty</v>
          </cell>
          <cell r="R152">
            <v>44371</v>
          </cell>
        </row>
        <row r="153">
          <cell r="E153">
            <v>0</v>
          </cell>
          <cell r="F153">
            <v>0</v>
          </cell>
          <cell r="G153" t="str">
            <v>--</v>
          </cell>
          <cell r="H153" t="str">
            <v>--</v>
          </cell>
          <cell r="I153">
            <v>1</v>
          </cell>
          <cell r="J153">
            <v>5</v>
          </cell>
          <cell r="K153" t="str">
            <v>--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E154" t="str">
            <v>Father Name</v>
          </cell>
          <cell r="F154" t="str">
            <v>Date of birth</v>
          </cell>
          <cell r="G154" t="str">
            <v>Date of Recruitment</v>
          </cell>
          <cell r="H154" t="str">
            <v>education</v>
          </cell>
          <cell r="I154" t="str">
            <v>Home District</v>
          </cell>
          <cell r="J154" t="str">
            <v>Home Tehsil</v>
          </cell>
          <cell r="K154" t="str">
            <v>Home Police Station</v>
          </cell>
          <cell r="L154" t="str">
            <v>Arrivel from Dist/Unit.</v>
          </cell>
          <cell r="M154" t="str">
            <v>Date of Posting in this district</v>
          </cell>
          <cell r="N154" t="str">
            <v>Previous Posting</v>
          </cell>
          <cell r="O154" t="str">
            <v>Current PostingUnit</v>
          </cell>
          <cell r="P154" t="str">
            <v>Current Posting</v>
          </cell>
          <cell r="Q154" t="str">
            <v>Posted As</v>
          </cell>
          <cell r="R154" t="str">
            <v>Date of Posting</v>
          </cell>
        </row>
        <row r="155">
          <cell r="E155" t="str">
            <v>Abdul Majeed</v>
          </cell>
          <cell r="F155">
            <v>31796</v>
          </cell>
          <cell r="G155">
            <v>38888</v>
          </cell>
          <cell r="H155" t="str">
            <v>BA</v>
          </cell>
          <cell r="I155" t="str">
            <v>Khanewal</v>
          </cell>
          <cell r="J155" t="str">
            <v>Jehanian</v>
          </cell>
          <cell r="K155" t="str">
            <v>Jehanian</v>
          </cell>
          <cell r="L155" t="str">
            <v>promoted as HC</v>
          </cell>
          <cell r="M155">
            <v>44338</v>
          </cell>
          <cell r="N155" t="str">
            <v>Police Line</v>
          </cell>
          <cell r="O155" t="str">
            <v>Guard</v>
          </cell>
          <cell r="P155" t="str">
            <v>Guard NBP Khanewal</v>
          </cell>
          <cell r="Q155" t="str">
            <v>Incharge</v>
          </cell>
          <cell r="R155">
            <v>45558</v>
          </cell>
        </row>
        <row r="156">
          <cell r="E156">
            <v>0</v>
          </cell>
          <cell r="F156">
            <v>28835</v>
          </cell>
          <cell r="G156">
            <v>37512</v>
          </cell>
          <cell r="H156" t="str">
            <v>F.Sc</v>
          </cell>
          <cell r="I156" t="str">
            <v>Khanewal</v>
          </cell>
          <cell r="J156" t="str">
            <v>Jahanian</v>
          </cell>
          <cell r="K156" t="str">
            <v>Jahanian</v>
          </cell>
          <cell r="L156">
            <v>0</v>
          </cell>
          <cell r="M156">
            <v>39371</v>
          </cell>
          <cell r="N156" t="str">
            <v>PS Sadar Khanewal</v>
          </cell>
          <cell r="O156" t="str">
            <v>Guard</v>
          </cell>
          <cell r="P156" t="str">
            <v>Guard NBP Khanewal</v>
          </cell>
          <cell r="Q156" t="str">
            <v>Guard Duty</v>
          </cell>
          <cell r="R156">
            <v>44091</v>
          </cell>
        </row>
        <row r="157">
          <cell r="E157" t="str">
            <v xml:space="preserve">Mian Noor Din </v>
          </cell>
          <cell r="F157">
            <v>26422</v>
          </cell>
          <cell r="G157">
            <v>33181</v>
          </cell>
          <cell r="H157" t="str">
            <v>Matric</v>
          </cell>
          <cell r="I157" t="str">
            <v>Khanewal</v>
          </cell>
          <cell r="J157" t="str">
            <v>Khanewal</v>
          </cell>
          <cell r="K157" t="str">
            <v>Makhdompur</v>
          </cell>
          <cell r="L157">
            <v>0</v>
          </cell>
          <cell r="M157">
            <v>36195</v>
          </cell>
          <cell r="N157" t="str">
            <v>Guard NBP Khanewal</v>
          </cell>
          <cell r="O157" t="str">
            <v>Guard</v>
          </cell>
          <cell r="P157" t="str">
            <v>Guard NBP Khanewal</v>
          </cell>
          <cell r="Q157" t="str">
            <v>Guard Duty</v>
          </cell>
          <cell r="R157">
            <v>44179</v>
          </cell>
        </row>
        <row r="158">
          <cell r="E158" t="str">
            <v>Hashmat Ali</v>
          </cell>
          <cell r="F158">
            <v>24943</v>
          </cell>
          <cell r="G158">
            <v>33147</v>
          </cell>
          <cell r="H158" t="str">
            <v>Matric</v>
          </cell>
          <cell r="I158" t="str">
            <v>Khanewal</v>
          </cell>
          <cell r="J158" t="str">
            <v>Kabirwala</v>
          </cell>
          <cell r="K158" t="str">
            <v>Sadar Kabirwala</v>
          </cell>
          <cell r="L158">
            <v>0</v>
          </cell>
          <cell r="M158">
            <v>33147</v>
          </cell>
          <cell r="N158" t="str">
            <v>Police Line</v>
          </cell>
          <cell r="O158" t="str">
            <v>Guard</v>
          </cell>
          <cell r="P158" t="str">
            <v>Guard NBP Khanewal</v>
          </cell>
          <cell r="Q158" t="str">
            <v>Guard Duty</v>
          </cell>
          <cell r="R158">
            <v>44974</v>
          </cell>
        </row>
        <row r="159">
          <cell r="E159" t="str">
            <v>Noor Ahmed</v>
          </cell>
          <cell r="F159">
            <v>25187</v>
          </cell>
          <cell r="G159">
            <v>32854</v>
          </cell>
          <cell r="H159" t="str">
            <v>Matric</v>
          </cell>
          <cell r="I159" t="str">
            <v>Khanewal</v>
          </cell>
          <cell r="J159" t="str">
            <v>Mian Channu</v>
          </cell>
          <cell r="K159" t="str">
            <v>Chab Kalan</v>
          </cell>
          <cell r="L159">
            <v>0</v>
          </cell>
          <cell r="M159">
            <v>32853</v>
          </cell>
          <cell r="N159" t="str">
            <v>Police Line</v>
          </cell>
          <cell r="O159" t="str">
            <v>Guard</v>
          </cell>
          <cell r="P159" t="str">
            <v>Guard NBP Khanewal</v>
          </cell>
          <cell r="Q159" t="str">
            <v>Guyard Duty (Heart Patient)</v>
          </cell>
          <cell r="R159">
            <v>45558</v>
          </cell>
        </row>
        <row r="160">
          <cell r="E160" t="str">
            <v xml:space="preserve">Ghazanfar Abass </v>
          </cell>
          <cell r="F160">
            <v>27763</v>
          </cell>
          <cell r="G160">
            <v>34815</v>
          </cell>
          <cell r="H160" t="str">
            <v>Matric</v>
          </cell>
          <cell r="I160" t="str">
            <v>Khanewal</v>
          </cell>
          <cell r="J160" t="str">
            <v>KAbirwala</v>
          </cell>
          <cell r="K160" t="str">
            <v>Nawan Shehr</v>
          </cell>
          <cell r="L160" t="str">
            <v>Traffic</v>
          </cell>
          <cell r="M160">
            <v>45509</v>
          </cell>
          <cell r="N160" t="str">
            <v>Guard Special Branch Khanewal</v>
          </cell>
          <cell r="O160" t="str">
            <v>Guard</v>
          </cell>
          <cell r="P160" t="str">
            <v>Guard NBP Khanewal</v>
          </cell>
          <cell r="Q160" t="str">
            <v>Guard Duty</v>
          </cell>
          <cell r="R160">
            <v>45548</v>
          </cell>
        </row>
        <row r="161">
          <cell r="E161">
            <v>0</v>
          </cell>
          <cell r="F161">
            <v>0</v>
          </cell>
          <cell r="G161" t="str">
            <v>--</v>
          </cell>
          <cell r="H161" t="str">
            <v>--</v>
          </cell>
          <cell r="I161" t="str">
            <v>--</v>
          </cell>
          <cell r="J161">
            <v>2</v>
          </cell>
          <cell r="K161" t="str">
            <v>--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</row>
        <row r="162">
          <cell r="E162" t="str">
            <v>Father Name</v>
          </cell>
          <cell r="F162" t="str">
            <v>Date of birth</v>
          </cell>
          <cell r="G162" t="str">
            <v>Date of Recruitment</v>
          </cell>
          <cell r="H162" t="str">
            <v>education</v>
          </cell>
          <cell r="I162" t="str">
            <v>Home District</v>
          </cell>
          <cell r="J162" t="str">
            <v>Home Tehsil</v>
          </cell>
          <cell r="K162" t="str">
            <v>Home Police Station</v>
          </cell>
          <cell r="L162" t="str">
            <v>Arrivel from Dist/Unit.</v>
          </cell>
          <cell r="M162" t="str">
            <v>Date of Posting in this district</v>
          </cell>
          <cell r="N162" t="str">
            <v>Previous Posting</v>
          </cell>
          <cell r="O162" t="str">
            <v>Current PostingUnit</v>
          </cell>
          <cell r="P162" t="str">
            <v>Current Posting</v>
          </cell>
          <cell r="Q162" t="str">
            <v>Posted As</v>
          </cell>
          <cell r="R162" t="str">
            <v>Date of Posting</v>
          </cell>
        </row>
        <row r="163">
          <cell r="E163" t="str">
            <v>Muhammad Ramzan</v>
          </cell>
          <cell r="F163">
            <v>32157</v>
          </cell>
          <cell r="G163">
            <v>40543</v>
          </cell>
          <cell r="H163" t="str">
            <v>BA</v>
          </cell>
          <cell r="I163" t="str">
            <v>Khanewal</v>
          </cell>
          <cell r="J163" t="str">
            <v>Khanewal</v>
          </cell>
          <cell r="K163" t="str">
            <v>Makhdompur</v>
          </cell>
          <cell r="L163" t="str">
            <v>--</v>
          </cell>
          <cell r="M163">
            <v>40543</v>
          </cell>
          <cell r="N163" t="str">
            <v>Guard Civil Court Khanewal</v>
          </cell>
          <cell r="O163" t="str">
            <v>Guard</v>
          </cell>
          <cell r="P163" t="str">
            <v>Guard Khazana Khanewal</v>
          </cell>
          <cell r="Q163" t="str">
            <v>Guard Duty</v>
          </cell>
          <cell r="R163">
            <v>45548</v>
          </cell>
        </row>
        <row r="164">
          <cell r="E164" t="str">
            <v xml:space="preserve">Mazhar Hussain </v>
          </cell>
          <cell r="F164">
            <v>33970</v>
          </cell>
          <cell r="G164">
            <v>41043</v>
          </cell>
          <cell r="H164" t="str">
            <v>Matric</v>
          </cell>
          <cell r="I164" t="str">
            <v>Khanewal</v>
          </cell>
          <cell r="J164" t="str">
            <v>Kabirwala</v>
          </cell>
          <cell r="K164" t="str">
            <v>Sadar Kabirwala</v>
          </cell>
          <cell r="L164" t="str">
            <v>PC-3 Multan</v>
          </cell>
          <cell r="M164">
            <v>44211</v>
          </cell>
          <cell r="N164" t="str">
            <v>Guard Judicial Rest House Khanewal</v>
          </cell>
          <cell r="O164" t="str">
            <v>Guard</v>
          </cell>
          <cell r="P164" t="str">
            <v>Guard Khazana Khanewal</v>
          </cell>
          <cell r="Q164" t="str">
            <v>Guard Duty</v>
          </cell>
          <cell r="R164">
            <v>45548</v>
          </cell>
        </row>
        <row r="165">
          <cell r="E165">
            <v>0</v>
          </cell>
          <cell r="F165">
            <v>0</v>
          </cell>
          <cell r="G165" t="str">
            <v>--</v>
          </cell>
          <cell r="H165" t="str">
            <v>--</v>
          </cell>
          <cell r="I165">
            <v>1</v>
          </cell>
          <cell r="J165">
            <v>2</v>
          </cell>
          <cell r="K165">
            <v>2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 t="str">
            <v>--</v>
          </cell>
          <cell r="R165">
            <v>0</v>
          </cell>
        </row>
        <row r="166">
          <cell r="E166" t="str">
            <v>Father Name</v>
          </cell>
          <cell r="F166" t="str">
            <v>Date of birth</v>
          </cell>
          <cell r="G166" t="str">
            <v>Date of Recruitment</v>
          </cell>
          <cell r="H166" t="str">
            <v>education</v>
          </cell>
          <cell r="I166" t="str">
            <v>Home District</v>
          </cell>
          <cell r="J166" t="str">
            <v>Home Tehsil</v>
          </cell>
          <cell r="K166" t="str">
            <v>Home Police Station</v>
          </cell>
          <cell r="L166" t="str">
            <v>Arrivel from Dist/Unit.</v>
          </cell>
          <cell r="M166" t="str">
            <v>Date of Posting in this district</v>
          </cell>
          <cell r="N166" t="str">
            <v>Previous Posting</v>
          </cell>
          <cell r="O166" t="str">
            <v>Current PostingUnit</v>
          </cell>
          <cell r="P166" t="str">
            <v>Current Posting</v>
          </cell>
          <cell r="Q166" t="str">
            <v>Posted As</v>
          </cell>
          <cell r="R166" t="str">
            <v>Date of Posting</v>
          </cell>
        </row>
        <row r="167">
          <cell r="E167" t="str">
            <v>MuhammadMustaqeem</v>
          </cell>
          <cell r="F167">
            <v>24873</v>
          </cell>
          <cell r="G167">
            <v>33175</v>
          </cell>
          <cell r="H167" t="str">
            <v>FA</v>
          </cell>
          <cell r="I167" t="str">
            <v>Khanewal</v>
          </cell>
          <cell r="J167" t="str">
            <v>Khanewal</v>
          </cell>
          <cell r="K167" t="str">
            <v>City Khanewal</v>
          </cell>
          <cell r="L167">
            <v>0</v>
          </cell>
          <cell r="M167">
            <v>35850</v>
          </cell>
          <cell r="N167" t="str">
            <v>PS Sadar Khanewal</v>
          </cell>
          <cell r="O167" t="str">
            <v>Guard</v>
          </cell>
          <cell r="P167" t="str">
            <v>Guard Dar Ul Aman Khanewal</v>
          </cell>
          <cell r="Q167" t="str">
            <v>Incharge</v>
          </cell>
          <cell r="R167">
            <v>45269</v>
          </cell>
        </row>
        <row r="168">
          <cell r="E168" t="str">
            <v>Manzor Hussain</v>
          </cell>
          <cell r="F168">
            <v>28980</v>
          </cell>
          <cell r="G168">
            <v>37139</v>
          </cell>
          <cell r="H168" t="str">
            <v>BA</v>
          </cell>
          <cell r="I168" t="str">
            <v>Khanewal</v>
          </cell>
          <cell r="J168" t="str">
            <v>Khanewal</v>
          </cell>
          <cell r="K168" t="str">
            <v>City Khanewal</v>
          </cell>
          <cell r="L168" t="str">
            <v>NH &amp; MP</v>
          </cell>
          <cell r="M168">
            <v>44350</v>
          </cell>
          <cell r="N168" t="str">
            <v>Complaint Cell Branch</v>
          </cell>
          <cell r="O168" t="str">
            <v>Guard</v>
          </cell>
          <cell r="P168" t="str">
            <v>Guard Dar-ul-Aman Khanewal</v>
          </cell>
          <cell r="Q168" t="str">
            <v>Guard Duty</v>
          </cell>
          <cell r="R168">
            <v>45454</v>
          </cell>
        </row>
        <row r="169">
          <cell r="E169" t="str">
            <v>Wali Dad</v>
          </cell>
          <cell r="F169">
            <v>25020</v>
          </cell>
          <cell r="G169">
            <v>32988</v>
          </cell>
          <cell r="H169" t="str">
            <v>Matric</v>
          </cell>
          <cell r="I169" t="str">
            <v>TT Singh</v>
          </cell>
          <cell r="J169" t="str">
            <v>kamaliya</v>
          </cell>
          <cell r="K169" t="str">
            <v>Aroti</v>
          </cell>
          <cell r="L169" t="str">
            <v>Faisalabad</v>
          </cell>
          <cell r="M169">
            <v>34348</v>
          </cell>
          <cell r="N169" t="str">
            <v>PS Kohna Khanewal</v>
          </cell>
          <cell r="O169" t="str">
            <v>Guard</v>
          </cell>
          <cell r="P169" t="str">
            <v>Guard Dar Ul Aman Khanewal</v>
          </cell>
          <cell r="Q169" t="str">
            <v>Guard Duty</v>
          </cell>
          <cell r="R169">
            <v>45548</v>
          </cell>
        </row>
        <row r="170">
          <cell r="E170" t="str">
            <v>Muhammad Saeed</v>
          </cell>
          <cell r="F170">
            <v>32602</v>
          </cell>
          <cell r="G170">
            <v>39910</v>
          </cell>
          <cell r="H170" t="str">
            <v>FA</v>
          </cell>
          <cell r="I170" t="str">
            <v>Khanewal</v>
          </cell>
          <cell r="J170" t="str">
            <v>Jehanian</v>
          </cell>
          <cell r="K170" t="str">
            <v>Jehanian</v>
          </cell>
          <cell r="L170">
            <v>0</v>
          </cell>
          <cell r="M170">
            <v>39910</v>
          </cell>
          <cell r="N170" t="str">
            <v>Guard Session Court Khanewal</v>
          </cell>
          <cell r="O170" t="str">
            <v>Guard</v>
          </cell>
          <cell r="P170" t="str">
            <v>Guard Dar Ul Aman Khanewal</v>
          </cell>
          <cell r="Q170" t="str">
            <v>Guard Duty</v>
          </cell>
          <cell r="R170">
            <v>44240</v>
          </cell>
        </row>
        <row r="171">
          <cell r="E171" t="str">
            <v xml:space="preserve">Mumtaz Hussain </v>
          </cell>
          <cell r="F171">
            <v>33171</v>
          </cell>
          <cell r="G171">
            <v>42115</v>
          </cell>
          <cell r="H171" t="str">
            <v>Matric</v>
          </cell>
          <cell r="I171" t="str">
            <v>Khanewal</v>
          </cell>
          <cell r="J171" t="str">
            <v>Khanewal</v>
          </cell>
          <cell r="K171" t="str">
            <v>Sadar Khanewal</v>
          </cell>
          <cell r="L171" t="str">
            <v>--</v>
          </cell>
          <cell r="M171">
            <v>41021</v>
          </cell>
          <cell r="N171" t="str">
            <v>Police Line</v>
          </cell>
          <cell r="O171" t="str">
            <v>Guard</v>
          </cell>
          <cell r="P171" t="str">
            <v>Guard Dar Ul Aman Khanewal</v>
          </cell>
          <cell r="Q171" t="str">
            <v>Guard</v>
          </cell>
          <cell r="R171">
            <v>45533</v>
          </cell>
        </row>
        <row r="172">
          <cell r="E172">
            <v>0</v>
          </cell>
          <cell r="F172">
            <v>0</v>
          </cell>
          <cell r="G172" t="str">
            <v>--</v>
          </cell>
          <cell r="H172" t="str">
            <v>--</v>
          </cell>
          <cell r="I172" t="str">
            <v>--</v>
          </cell>
          <cell r="J172" t="str">
            <v>--</v>
          </cell>
          <cell r="K172" t="str">
            <v>--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E173" t="str">
            <v>Father Name</v>
          </cell>
          <cell r="F173" t="str">
            <v>Date of birth</v>
          </cell>
          <cell r="G173" t="str">
            <v>Date of Recruitment</v>
          </cell>
          <cell r="H173" t="str">
            <v>education</v>
          </cell>
          <cell r="I173" t="str">
            <v>Home District</v>
          </cell>
          <cell r="J173" t="str">
            <v>Home Tehsil</v>
          </cell>
          <cell r="K173" t="str">
            <v>Home Police Station</v>
          </cell>
          <cell r="L173" t="str">
            <v>Arrivel from Dist/Unit.</v>
          </cell>
          <cell r="M173" t="str">
            <v>Date of Posting in this district</v>
          </cell>
          <cell r="N173" t="str">
            <v>Previous Posting</v>
          </cell>
          <cell r="O173" t="str">
            <v>Current PostingUnit</v>
          </cell>
          <cell r="P173" t="str">
            <v>Current Posting</v>
          </cell>
          <cell r="Q173" t="str">
            <v>Posted As</v>
          </cell>
          <cell r="R173" t="str">
            <v>Date of Posting</v>
          </cell>
        </row>
        <row r="174">
          <cell r="E174">
            <v>0</v>
          </cell>
          <cell r="F174">
            <v>0</v>
          </cell>
          <cell r="G174" t="str">
            <v>--</v>
          </cell>
          <cell r="H174" t="str">
            <v>--</v>
          </cell>
          <cell r="I174" t="str">
            <v>--</v>
          </cell>
          <cell r="J174">
            <v>3</v>
          </cell>
          <cell r="K174" t="str">
            <v>--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E175" t="str">
            <v>Father Name</v>
          </cell>
          <cell r="F175" t="str">
            <v>Date of birth</v>
          </cell>
          <cell r="G175" t="str">
            <v>Date of Recruitment</v>
          </cell>
          <cell r="H175" t="str">
            <v>education</v>
          </cell>
          <cell r="I175" t="str">
            <v>Home District</v>
          </cell>
          <cell r="J175" t="str">
            <v>Home Tehsil</v>
          </cell>
          <cell r="K175" t="str">
            <v>Home Police Station</v>
          </cell>
          <cell r="L175" t="str">
            <v>Arrivel from Dist/Unit.</v>
          </cell>
          <cell r="M175" t="str">
            <v>Date of Posting in this district</v>
          </cell>
          <cell r="N175" t="str">
            <v>Previous Posting</v>
          </cell>
          <cell r="O175" t="str">
            <v>Current PostingUnit</v>
          </cell>
          <cell r="P175" t="str">
            <v>Current Posting</v>
          </cell>
          <cell r="Q175" t="str">
            <v>Posted As</v>
          </cell>
          <cell r="R175" t="str">
            <v>Date of Posting</v>
          </cell>
        </row>
        <row r="176">
          <cell r="E176" t="str">
            <v>Muhammad Khaqan Khan</v>
          </cell>
          <cell r="F176">
            <v>25090</v>
          </cell>
          <cell r="G176">
            <v>32362</v>
          </cell>
          <cell r="H176" t="str">
            <v>Under Matric</v>
          </cell>
          <cell r="I176" t="str">
            <v>Khanewal</v>
          </cell>
          <cell r="J176" t="str">
            <v>Khanewal</v>
          </cell>
          <cell r="K176" t="str">
            <v>Kacha Khuh</v>
          </cell>
          <cell r="L176" t="str">
            <v xml:space="preserve">Lodhran </v>
          </cell>
          <cell r="M176">
            <v>35943</v>
          </cell>
          <cell r="N176" t="str">
            <v>Guard Judges Colony Khanewal</v>
          </cell>
          <cell r="O176" t="str">
            <v>Guard</v>
          </cell>
          <cell r="P176" t="str">
            <v>Guard Circuit House Khanewal</v>
          </cell>
          <cell r="Q176" t="str">
            <v>Guard Duty</v>
          </cell>
          <cell r="R176">
            <v>44355</v>
          </cell>
        </row>
        <row r="177">
          <cell r="E177" t="str">
            <v>Muhammad Hussain Khan</v>
          </cell>
          <cell r="F177">
            <v>27248</v>
          </cell>
          <cell r="G177">
            <v>34756</v>
          </cell>
          <cell r="H177" t="str">
            <v>BA</v>
          </cell>
          <cell r="I177" t="str">
            <v>Khanewal</v>
          </cell>
          <cell r="J177" t="str">
            <v>Khanewal</v>
          </cell>
          <cell r="K177" t="str">
            <v>Sadar Khanewal</v>
          </cell>
          <cell r="L177" t="str">
            <v>CTP Lahore</v>
          </cell>
          <cell r="M177">
            <v>45162</v>
          </cell>
          <cell r="N177" t="str">
            <v>Police Line</v>
          </cell>
          <cell r="O177" t="str">
            <v>Guard</v>
          </cell>
          <cell r="P177" t="str">
            <v>Guard Circuit House Khanewal</v>
          </cell>
          <cell r="Q177" t="str">
            <v>Guard Duty</v>
          </cell>
          <cell r="R177">
            <v>45548</v>
          </cell>
        </row>
        <row r="178">
          <cell r="E178" t="str">
            <v>Muhammad Rustam</v>
          </cell>
          <cell r="F178">
            <v>27923</v>
          </cell>
          <cell r="G178">
            <v>35113</v>
          </cell>
          <cell r="H178" t="str">
            <v>Matric</v>
          </cell>
          <cell r="I178" t="str">
            <v>Khanewal</v>
          </cell>
          <cell r="J178" t="str">
            <v>Khanewal</v>
          </cell>
          <cell r="K178" t="str">
            <v>PS Makhdoom Pur</v>
          </cell>
          <cell r="L178" t="str">
            <v>CTP Lahore</v>
          </cell>
          <cell r="M178">
            <v>45162</v>
          </cell>
          <cell r="N178" t="str">
            <v>Guard Judges Colony Khanewal</v>
          </cell>
          <cell r="O178" t="str">
            <v>Guard</v>
          </cell>
          <cell r="P178" t="str">
            <v>Guard Circuit House Khanewal</v>
          </cell>
          <cell r="Q178" t="str">
            <v>Guard Duty</v>
          </cell>
          <cell r="R178">
            <v>45548</v>
          </cell>
        </row>
        <row r="179"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 t="str">
            <v>-</v>
          </cell>
          <cell r="R179">
            <v>0</v>
          </cell>
        </row>
        <row r="180">
          <cell r="E180" t="str">
            <v>Father Name</v>
          </cell>
          <cell r="F180" t="str">
            <v>Date of birth</v>
          </cell>
          <cell r="G180" t="str">
            <v>Date of Recruitment</v>
          </cell>
          <cell r="H180" t="str">
            <v>education</v>
          </cell>
          <cell r="I180" t="str">
            <v>Home District</v>
          </cell>
          <cell r="J180" t="str">
            <v>Home Tehsil</v>
          </cell>
          <cell r="K180" t="str">
            <v>Home Police Station</v>
          </cell>
          <cell r="L180" t="str">
            <v>Arrivel from Dist/Unit.</v>
          </cell>
          <cell r="M180" t="str">
            <v>Date of Posting in this district</v>
          </cell>
          <cell r="N180" t="str">
            <v>Previous Posting</v>
          </cell>
          <cell r="O180" t="str">
            <v>Current PostingUnit</v>
          </cell>
          <cell r="P180" t="str">
            <v>Current Posting</v>
          </cell>
          <cell r="Q180" t="str">
            <v>Posted As</v>
          </cell>
          <cell r="R180" t="str">
            <v>Date of Posting</v>
          </cell>
        </row>
        <row r="181">
          <cell r="E181" t="str">
            <v>Amjid Saeed</v>
          </cell>
          <cell r="F181">
            <v>33405</v>
          </cell>
          <cell r="G181">
            <v>41871</v>
          </cell>
          <cell r="H181" t="str">
            <v>B.C.S</v>
          </cell>
          <cell r="I181" t="str">
            <v>Khanewal</v>
          </cell>
          <cell r="J181" t="str">
            <v>Mian Channu</v>
          </cell>
          <cell r="K181" t="str">
            <v>City Mian Channu</v>
          </cell>
          <cell r="L181" t="str">
            <v>New Recruited</v>
          </cell>
          <cell r="M181">
            <v>41871</v>
          </cell>
          <cell r="N181" t="str">
            <v>PSO To DPO Office Khanewal</v>
          </cell>
          <cell r="O181" t="str">
            <v>PS</v>
          </cell>
          <cell r="P181" t="str">
            <v>PS Sadar Khanewal</v>
          </cell>
          <cell r="Q181" t="str">
            <v>SHO</v>
          </cell>
          <cell r="R181">
            <v>45341</v>
          </cell>
        </row>
        <row r="182">
          <cell r="E182" t="str">
            <v>Muhammad Rafique</v>
          </cell>
          <cell r="F182">
            <v>25329</v>
          </cell>
          <cell r="G182">
            <v>31941</v>
          </cell>
          <cell r="H182" t="str">
            <v>Matric</v>
          </cell>
          <cell r="I182" t="str">
            <v>Lodhran</v>
          </cell>
          <cell r="J182" t="str">
            <v>Dunia Pur</v>
          </cell>
          <cell r="K182" t="str">
            <v>Sadar Dunia Pur</v>
          </cell>
          <cell r="L182" t="str">
            <v>Lodhran</v>
          </cell>
          <cell r="M182">
            <v>44615</v>
          </cell>
          <cell r="N182" t="str">
            <v>PS Thatha Sadiqabad</v>
          </cell>
          <cell r="O182" t="str">
            <v>PS</v>
          </cell>
          <cell r="P182" t="str">
            <v>PS Sadar Khanewal</v>
          </cell>
          <cell r="Q182" t="str">
            <v>Inv Staff</v>
          </cell>
          <cell r="R182">
            <v>45344</v>
          </cell>
        </row>
        <row r="183">
          <cell r="E183" t="str">
            <v xml:space="preserve">Muhammad Rasheed </v>
          </cell>
          <cell r="F183">
            <v>32874</v>
          </cell>
          <cell r="G183">
            <v>41871</v>
          </cell>
          <cell r="H183" t="str">
            <v>B.Com</v>
          </cell>
          <cell r="I183" t="str">
            <v>Khanewal</v>
          </cell>
          <cell r="J183" t="str">
            <v>Mian Channu</v>
          </cell>
          <cell r="K183" t="str">
            <v>Saddar Mian Channu</v>
          </cell>
          <cell r="L183" t="str">
            <v>District Vehari</v>
          </cell>
          <cell r="M183">
            <v>45296</v>
          </cell>
          <cell r="N183" t="str">
            <v>Police Line</v>
          </cell>
          <cell r="O183" t="str">
            <v>PS</v>
          </cell>
          <cell r="P183" t="str">
            <v>PS Sadar Khanewal</v>
          </cell>
          <cell r="Q183" t="str">
            <v>Inv Staff</v>
          </cell>
          <cell r="R183">
            <v>45377</v>
          </cell>
        </row>
        <row r="184">
          <cell r="E184" t="str">
            <v>Mohsin Ali</v>
          </cell>
          <cell r="F184">
            <v>32734</v>
          </cell>
          <cell r="G184">
            <v>41871</v>
          </cell>
          <cell r="H184" t="str">
            <v>B.Sc</v>
          </cell>
          <cell r="I184" t="str">
            <v>Khanewal</v>
          </cell>
          <cell r="J184" t="str">
            <v>Kabirwala</v>
          </cell>
          <cell r="K184" t="str">
            <v>City Kabirwala</v>
          </cell>
          <cell r="L184" t="str">
            <v>PHP Multan</v>
          </cell>
          <cell r="M184">
            <v>44468</v>
          </cell>
          <cell r="N184" t="str">
            <v>Police Line</v>
          </cell>
          <cell r="O184" t="str">
            <v>PS</v>
          </cell>
          <cell r="P184" t="str">
            <v>PS Sadar Khanewal</v>
          </cell>
          <cell r="Q184" t="str">
            <v>Incharge Chowki Nawan Chowk</v>
          </cell>
          <cell r="R184">
            <v>45505</v>
          </cell>
        </row>
        <row r="185">
          <cell r="E185" t="str">
            <v>Muhammad Ramzan</v>
          </cell>
          <cell r="F185">
            <v>26631</v>
          </cell>
          <cell r="G185">
            <v>34216</v>
          </cell>
          <cell r="H185" t="str">
            <v>BA</v>
          </cell>
          <cell r="I185" t="str">
            <v>Multan</v>
          </cell>
          <cell r="J185" t="str">
            <v>Multan</v>
          </cell>
          <cell r="K185" t="str">
            <v>New Multan</v>
          </cell>
          <cell r="L185" t="str">
            <v>District Multan</v>
          </cell>
          <cell r="M185">
            <v>45553</v>
          </cell>
          <cell r="N185" t="str">
            <v>Police Line</v>
          </cell>
          <cell r="O185" t="str">
            <v>PS</v>
          </cell>
          <cell r="P185" t="str">
            <v>PS Sadar Khanewal</v>
          </cell>
          <cell r="Q185" t="str">
            <v>Inv Staff</v>
          </cell>
          <cell r="R185">
            <v>45572</v>
          </cell>
        </row>
        <row r="186">
          <cell r="E186" t="str">
            <v>Muhammad Abdullah</v>
          </cell>
          <cell r="F186">
            <v>24268</v>
          </cell>
          <cell r="G186">
            <v>32020</v>
          </cell>
          <cell r="H186" t="str">
            <v>Matric</v>
          </cell>
          <cell r="I186" t="str">
            <v>Multan</v>
          </cell>
          <cell r="J186" t="str">
            <v>Makhdoom Rasheed</v>
          </cell>
          <cell r="K186" t="str">
            <v>Makhdoom Rasheed</v>
          </cell>
          <cell r="L186" t="str">
            <v>Vehari</v>
          </cell>
          <cell r="M186">
            <v>43788</v>
          </cell>
          <cell r="N186" t="str">
            <v>Police Line</v>
          </cell>
          <cell r="O186" t="str">
            <v>PS</v>
          </cell>
          <cell r="P186" t="str">
            <v>PS Sadar Khanewal</v>
          </cell>
          <cell r="Q186" t="str">
            <v>Inv Staff (SSOIU)</v>
          </cell>
          <cell r="R186">
            <v>45572</v>
          </cell>
        </row>
        <row r="187">
          <cell r="E187" t="str">
            <v>Muhammad Hanif</v>
          </cell>
          <cell r="F187">
            <v>25689</v>
          </cell>
          <cell r="G187">
            <v>33210</v>
          </cell>
          <cell r="H187" t="str">
            <v>FA</v>
          </cell>
          <cell r="I187" t="str">
            <v>Khanewal</v>
          </cell>
          <cell r="J187" t="str">
            <v>Mianchanu</v>
          </cell>
          <cell r="K187" t="str">
            <v>Sadar Mianchanu</v>
          </cell>
          <cell r="L187" t="str">
            <v>Promoted as ASI</v>
          </cell>
          <cell r="M187">
            <v>43454</v>
          </cell>
          <cell r="N187" t="str">
            <v>PS Khanewal Kohna</v>
          </cell>
          <cell r="O187" t="str">
            <v>PS</v>
          </cell>
          <cell r="P187" t="str">
            <v>PS Sadar Khanewal</v>
          </cell>
          <cell r="Q187" t="str">
            <v>Inv Staff</v>
          </cell>
          <cell r="R187">
            <v>45033</v>
          </cell>
        </row>
        <row r="188">
          <cell r="E188" t="str">
            <v>Manzoor Ahmad</v>
          </cell>
          <cell r="F188">
            <v>31413</v>
          </cell>
          <cell r="G188">
            <v>38905</v>
          </cell>
          <cell r="H188" t="str">
            <v>F.Sc</v>
          </cell>
          <cell r="I188" t="str">
            <v>Khanewal</v>
          </cell>
          <cell r="J188" t="str">
            <v>Kabirwala</v>
          </cell>
          <cell r="K188" t="str">
            <v>City Kabirwala</v>
          </cell>
          <cell r="L188" t="str">
            <v>Promoted as ASI</v>
          </cell>
          <cell r="M188">
            <v>45117</v>
          </cell>
          <cell r="N188" t="str">
            <v>Police Line</v>
          </cell>
          <cell r="O188" t="str">
            <v>PS</v>
          </cell>
          <cell r="P188" t="str">
            <v>PS Sadar Khanewal</v>
          </cell>
          <cell r="Q188" t="str">
            <v>Inv Staff</v>
          </cell>
          <cell r="R188">
            <v>45191</v>
          </cell>
        </row>
        <row r="189">
          <cell r="E189" t="str">
            <v>Sardar Muhammad Urf Atta Muhammad</v>
          </cell>
          <cell r="F189">
            <v>27127</v>
          </cell>
          <cell r="G189">
            <v>34048</v>
          </cell>
          <cell r="H189" t="str">
            <v>F.A</v>
          </cell>
          <cell r="I189" t="str">
            <v>Khanewal</v>
          </cell>
          <cell r="J189" t="str">
            <v>Mian Channu</v>
          </cell>
          <cell r="K189" t="str">
            <v>Sadar Mian Channnu</v>
          </cell>
          <cell r="L189" t="str">
            <v>Traffic Punjab Lahore</v>
          </cell>
          <cell r="M189">
            <v>45240</v>
          </cell>
          <cell r="N189" t="str">
            <v>Police Line</v>
          </cell>
          <cell r="O189" t="str">
            <v>PS</v>
          </cell>
          <cell r="P189" t="str">
            <v>PS Sadar Khanewal</v>
          </cell>
          <cell r="Q189" t="str">
            <v>Inv Staff</v>
          </cell>
          <cell r="R189">
            <v>45321</v>
          </cell>
        </row>
        <row r="190">
          <cell r="E190" t="str">
            <v>Rehmat Ali</v>
          </cell>
          <cell r="F190">
            <v>28028</v>
          </cell>
          <cell r="G190">
            <v>35638</v>
          </cell>
          <cell r="H190" t="str">
            <v>Matric</v>
          </cell>
          <cell r="I190" t="str">
            <v>Multan</v>
          </cell>
          <cell r="J190" t="str">
            <v>Multan</v>
          </cell>
          <cell r="K190" t="str">
            <v>BZU Multan</v>
          </cell>
          <cell r="L190" t="str">
            <v>District Multan</v>
          </cell>
          <cell r="M190">
            <v>44482</v>
          </cell>
          <cell r="N190" t="str">
            <v>PS City Mian Channu</v>
          </cell>
          <cell r="O190" t="str">
            <v>PS</v>
          </cell>
          <cell r="P190" t="str">
            <v>PS Sadar Khanewal</v>
          </cell>
          <cell r="Q190" t="str">
            <v>Inv Staff</v>
          </cell>
          <cell r="R190">
            <v>45344</v>
          </cell>
        </row>
        <row r="191">
          <cell r="E191" t="str">
            <v>Muhammad Sadique</v>
          </cell>
          <cell r="F191">
            <v>32643</v>
          </cell>
          <cell r="G191">
            <v>39910</v>
          </cell>
          <cell r="H191" t="str">
            <v>MA</v>
          </cell>
          <cell r="I191" t="str">
            <v>Khanewal</v>
          </cell>
          <cell r="J191" t="str">
            <v>Mian Channu</v>
          </cell>
          <cell r="K191" t="str">
            <v>Chab Kalan</v>
          </cell>
          <cell r="L191" t="str">
            <v>PC-3 Multan</v>
          </cell>
          <cell r="M191">
            <v>44648</v>
          </cell>
          <cell r="N191" t="str">
            <v>PS Sadar Mian Channu</v>
          </cell>
          <cell r="O191" t="str">
            <v>PS</v>
          </cell>
          <cell r="P191" t="str">
            <v>PS Sadar Khanewal</v>
          </cell>
          <cell r="Q191" t="str">
            <v>Moharir</v>
          </cell>
          <cell r="R191">
            <v>45540</v>
          </cell>
        </row>
        <row r="192">
          <cell r="E192" t="str">
            <v xml:space="preserve">Ghulam Murtaza </v>
          </cell>
          <cell r="F192">
            <v>31048</v>
          </cell>
          <cell r="G192">
            <v>38918</v>
          </cell>
          <cell r="H192" t="str">
            <v>BA</v>
          </cell>
          <cell r="I192" t="str">
            <v>Khanewal</v>
          </cell>
          <cell r="J192" t="str">
            <v>Kabirwala</v>
          </cell>
          <cell r="K192" t="str">
            <v>Sadar Kabirwala</v>
          </cell>
          <cell r="L192" t="str">
            <v>promoted as HC</v>
          </cell>
          <cell r="M192">
            <v>45091</v>
          </cell>
          <cell r="N192" t="str">
            <v>Guard Election Commision Khanewal</v>
          </cell>
          <cell r="O192" t="str">
            <v>PS</v>
          </cell>
          <cell r="P192" t="str">
            <v>PS Saddar Khanewal</v>
          </cell>
          <cell r="Q192" t="str">
            <v>Moharir Chowki Nawan Chowk</v>
          </cell>
          <cell r="R192">
            <v>45454</v>
          </cell>
        </row>
        <row r="193">
          <cell r="E193" t="str">
            <v>Allah Yar</v>
          </cell>
          <cell r="F193">
            <v>31413</v>
          </cell>
          <cell r="G193">
            <v>38912</v>
          </cell>
          <cell r="H193" t="str">
            <v>FA</v>
          </cell>
          <cell r="I193" t="str">
            <v>Khanewal</v>
          </cell>
          <cell r="J193" t="str">
            <v>Mian Channu</v>
          </cell>
          <cell r="K193" t="str">
            <v>Saddar Mian Channu</v>
          </cell>
          <cell r="L193" t="str">
            <v>CTD</v>
          </cell>
          <cell r="M193">
            <v>45055</v>
          </cell>
          <cell r="N193" t="str">
            <v>PS Chab Kalan</v>
          </cell>
          <cell r="O193" t="str">
            <v>PS</v>
          </cell>
          <cell r="P193" t="str">
            <v>PS Saddar Khanewal</v>
          </cell>
          <cell r="Q193" t="str">
            <v>G. Duty</v>
          </cell>
          <cell r="R193">
            <v>45454</v>
          </cell>
        </row>
        <row r="194">
          <cell r="E194" t="str">
            <v>Muhammad Inayat</v>
          </cell>
          <cell r="F194">
            <v>29992</v>
          </cell>
          <cell r="G194">
            <v>37510</v>
          </cell>
          <cell r="H194" t="str">
            <v>FA</v>
          </cell>
          <cell r="I194" t="str">
            <v>Khanewal</v>
          </cell>
          <cell r="J194" t="str">
            <v>jahanian</v>
          </cell>
          <cell r="K194" t="str">
            <v>Thatha Sadiq Abad</v>
          </cell>
          <cell r="L194" t="str">
            <v>promoted as HC</v>
          </cell>
          <cell r="M194">
            <v>44338</v>
          </cell>
          <cell r="N194" t="str">
            <v>Judicial Duty Police Line</v>
          </cell>
          <cell r="O194" t="str">
            <v>PS</v>
          </cell>
          <cell r="P194" t="str">
            <v>PS Saddar Khanewal</v>
          </cell>
          <cell r="Q194" t="str">
            <v>G. Duty</v>
          </cell>
          <cell r="R194">
            <v>45454</v>
          </cell>
        </row>
        <row r="195">
          <cell r="E195" t="str">
            <v xml:space="preserve">Rashid Ahmad </v>
          </cell>
          <cell r="F195">
            <v>25278</v>
          </cell>
          <cell r="G195">
            <v>32932</v>
          </cell>
          <cell r="H195" t="str">
            <v>Matric</v>
          </cell>
          <cell r="I195" t="str">
            <v>Khanewal</v>
          </cell>
          <cell r="J195" t="str">
            <v>Mian Channu</v>
          </cell>
          <cell r="K195" t="str">
            <v>Chab Kalan</v>
          </cell>
          <cell r="L195" t="str">
            <v>D.G Khan</v>
          </cell>
          <cell r="M195">
            <v>33912</v>
          </cell>
          <cell r="N195" t="str">
            <v>PS Abdul Hakim</v>
          </cell>
          <cell r="O195" t="str">
            <v>PS</v>
          </cell>
          <cell r="P195" t="str">
            <v>PS Sadar Khanewal</v>
          </cell>
          <cell r="Q195" t="str">
            <v>N/Moharir</v>
          </cell>
          <cell r="R195">
            <v>45533</v>
          </cell>
        </row>
        <row r="196">
          <cell r="E196" t="str">
            <v xml:space="preserve">Ashiq Hussain </v>
          </cell>
          <cell r="F196">
            <v>26592</v>
          </cell>
          <cell r="G196">
            <v>33150</v>
          </cell>
          <cell r="H196" t="str">
            <v>Matric</v>
          </cell>
          <cell r="I196" t="str">
            <v>Khanewal</v>
          </cell>
          <cell r="J196" t="str">
            <v>Khanewal</v>
          </cell>
          <cell r="K196" t="str">
            <v>Kacha Khuh</v>
          </cell>
          <cell r="L196">
            <v>0</v>
          </cell>
          <cell r="M196">
            <v>33150</v>
          </cell>
          <cell r="N196" t="str">
            <v>PS Chab Kalan</v>
          </cell>
          <cell r="O196" t="str">
            <v>PS</v>
          </cell>
          <cell r="P196" t="str">
            <v>PS Sadar Khanewal</v>
          </cell>
          <cell r="Q196" t="str">
            <v>Security Duty</v>
          </cell>
          <cell r="R196">
            <v>45533</v>
          </cell>
        </row>
        <row r="197">
          <cell r="E197" t="str">
            <v>Munawar Ali</v>
          </cell>
          <cell r="F197">
            <v>32946</v>
          </cell>
          <cell r="G197">
            <v>42116</v>
          </cell>
          <cell r="H197" t="str">
            <v>B.Com</v>
          </cell>
          <cell r="I197" t="str">
            <v>Khanewal</v>
          </cell>
          <cell r="J197" t="str">
            <v>Jahanian</v>
          </cell>
          <cell r="K197" t="str">
            <v>Thattha Saidq Abad</v>
          </cell>
          <cell r="L197" t="str">
            <v>PC-3</v>
          </cell>
          <cell r="M197">
            <v>43270</v>
          </cell>
          <cell r="N197" t="str">
            <v>Police Line Khanewal</v>
          </cell>
          <cell r="O197" t="str">
            <v>PS</v>
          </cell>
          <cell r="P197" t="str">
            <v>PS Sadar Khanewal</v>
          </cell>
          <cell r="Q197" t="str">
            <v>G. Duty</v>
          </cell>
          <cell r="R197">
            <v>45240</v>
          </cell>
        </row>
        <row r="198">
          <cell r="E198" t="str">
            <v>Abdul Rasheed</v>
          </cell>
          <cell r="F198">
            <v>33339</v>
          </cell>
          <cell r="G198">
            <v>40543</v>
          </cell>
          <cell r="H198" t="str">
            <v>DAE</v>
          </cell>
          <cell r="I198" t="str">
            <v>Khanewal</v>
          </cell>
          <cell r="J198" t="str">
            <v>Khanewal</v>
          </cell>
          <cell r="K198" t="str">
            <v>Kacha khu</v>
          </cell>
          <cell r="L198" t="str">
            <v>PC-3 Multan</v>
          </cell>
          <cell r="M198">
            <v>44477</v>
          </cell>
          <cell r="N198" t="str">
            <v>PS Sadar Khanewal</v>
          </cell>
          <cell r="O198" t="str">
            <v>PS</v>
          </cell>
          <cell r="P198" t="str">
            <v>PS Sadar Khanewal</v>
          </cell>
          <cell r="Q198" t="str">
            <v>G. Duty</v>
          </cell>
          <cell r="R198">
            <v>45334</v>
          </cell>
        </row>
        <row r="199">
          <cell r="E199" t="str">
            <v>Parvez Akhtar</v>
          </cell>
          <cell r="F199">
            <v>35804</v>
          </cell>
          <cell r="G199">
            <v>42875</v>
          </cell>
          <cell r="H199" t="str">
            <v>Matric</v>
          </cell>
          <cell r="I199" t="str">
            <v>Khanewal</v>
          </cell>
          <cell r="J199" t="str">
            <v>Kabirwala</v>
          </cell>
          <cell r="K199" t="str">
            <v>Saddar Kabirwala</v>
          </cell>
          <cell r="L199" t="str">
            <v>PC-3</v>
          </cell>
          <cell r="M199">
            <v>44104</v>
          </cell>
          <cell r="N199" t="str">
            <v>PS Chab Kalan</v>
          </cell>
          <cell r="O199" t="str">
            <v>PS</v>
          </cell>
          <cell r="P199" t="str">
            <v>PS Sadar Khanewal</v>
          </cell>
          <cell r="Q199" t="str">
            <v>G. Duty</v>
          </cell>
          <cell r="R199">
            <v>45017</v>
          </cell>
        </row>
        <row r="200">
          <cell r="E200" t="str">
            <v>Muhammad Sarwar</v>
          </cell>
          <cell r="F200">
            <v>32582</v>
          </cell>
          <cell r="G200">
            <v>40478</v>
          </cell>
          <cell r="H200" t="str">
            <v>BA</v>
          </cell>
          <cell r="I200" t="str">
            <v>Khanewal</v>
          </cell>
          <cell r="J200" t="str">
            <v>Mianchanu</v>
          </cell>
          <cell r="K200" t="str">
            <v>Tulamba</v>
          </cell>
          <cell r="L200" t="str">
            <v>PC-1 Lahore</v>
          </cell>
          <cell r="M200">
            <v>44558</v>
          </cell>
          <cell r="N200" t="str">
            <v>PS Sadar Mian Channu</v>
          </cell>
          <cell r="O200" t="str">
            <v>PS</v>
          </cell>
          <cell r="P200" t="str">
            <v>PS Sadar Khanewal</v>
          </cell>
          <cell r="Q200" t="str">
            <v>G. Duty</v>
          </cell>
          <cell r="R200">
            <v>45454</v>
          </cell>
        </row>
        <row r="201">
          <cell r="E201" t="str">
            <v>Muhammad Khalid</v>
          </cell>
          <cell r="F201">
            <v>35769</v>
          </cell>
          <cell r="G201">
            <v>43806</v>
          </cell>
          <cell r="H201" t="str">
            <v>F.A</v>
          </cell>
          <cell r="I201" t="str">
            <v>Khanewal</v>
          </cell>
          <cell r="J201" t="str">
            <v>Jahanian</v>
          </cell>
          <cell r="K201" t="str">
            <v>Thatha Sadiqabad</v>
          </cell>
          <cell r="L201" t="str">
            <v>Punjab Constabulary</v>
          </cell>
          <cell r="M201">
            <v>45406</v>
          </cell>
          <cell r="N201" t="str">
            <v>Police Line</v>
          </cell>
          <cell r="O201" t="str">
            <v>PS</v>
          </cell>
          <cell r="P201" t="str">
            <v>PS Saddar Khanewal</v>
          </cell>
          <cell r="Q201" t="str">
            <v>G. Duty</v>
          </cell>
          <cell r="R201">
            <v>45454</v>
          </cell>
        </row>
        <row r="202">
          <cell r="E202" t="str">
            <v>Muhammad Sadiq Khan</v>
          </cell>
          <cell r="F202">
            <v>25355</v>
          </cell>
          <cell r="G202">
            <v>32966</v>
          </cell>
          <cell r="H202" t="str">
            <v>Under Matric</v>
          </cell>
          <cell r="I202" t="str">
            <v>Khanewal</v>
          </cell>
          <cell r="J202" t="str">
            <v>Khanewal</v>
          </cell>
          <cell r="K202" t="str">
            <v>City Khanewal</v>
          </cell>
          <cell r="L202">
            <v>0</v>
          </cell>
          <cell r="M202">
            <v>36026</v>
          </cell>
          <cell r="N202" t="str">
            <v>PS Jahanian</v>
          </cell>
          <cell r="O202" t="str">
            <v>PS</v>
          </cell>
          <cell r="P202" t="str">
            <v>PS Saddar Khanewal</v>
          </cell>
          <cell r="Q202" t="str">
            <v>G. Duty</v>
          </cell>
          <cell r="R202">
            <v>45454</v>
          </cell>
        </row>
        <row r="203">
          <cell r="E203" t="str">
            <v>Syed Latif Hussain</v>
          </cell>
          <cell r="F203">
            <v>24491</v>
          </cell>
          <cell r="G203">
            <v>32639</v>
          </cell>
          <cell r="H203" t="str">
            <v>Matric</v>
          </cell>
          <cell r="I203" t="str">
            <v>Khanewal</v>
          </cell>
          <cell r="J203" t="str">
            <v>Kabirwala</v>
          </cell>
          <cell r="K203" t="str">
            <v>City Kabirwala</v>
          </cell>
          <cell r="L203">
            <v>0</v>
          </cell>
          <cell r="M203">
            <v>32639</v>
          </cell>
          <cell r="N203" t="str">
            <v>PS Sadar Kabirwala</v>
          </cell>
          <cell r="O203" t="str">
            <v>PS</v>
          </cell>
          <cell r="P203" t="str">
            <v>PS Saddar Khanewal</v>
          </cell>
          <cell r="Q203" t="str">
            <v>G. Duty</v>
          </cell>
          <cell r="R203">
            <v>45454</v>
          </cell>
        </row>
        <row r="204">
          <cell r="E204" t="str">
            <v>Muhammad Ashraf</v>
          </cell>
          <cell r="F204">
            <v>24999</v>
          </cell>
          <cell r="G204">
            <v>32855</v>
          </cell>
          <cell r="H204" t="str">
            <v>Matric</v>
          </cell>
          <cell r="I204" t="str">
            <v>Khanewal</v>
          </cell>
          <cell r="J204" t="str">
            <v>Khanewal</v>
          </cell>
          <cell r="K204" t="str">
            <v>Makhdoom pur</v>
          </cell>
          <cell r="L204">
            <v>0</v>
          </cell>
          <cell r="M204">
            <v>32858</v>
          </cell>
          <cell r="N204" t="str">
            <v>PS Chab Kalan</v>
          </cell>
          <cell r="O204" t="str">
            <v>PS</v>
          </cell>
          <cell r="P204" t="str">
            <v>PS Saddar Khanewal</v>
          </cell>
          <cell r="Q204" t="str">
            <v>G. Duty</v>
          </cell>
          <cell r="R204">
            <v>45454</v>
          </cell>
        </row>
        <row r="205">
          <cell r="E205" t="str">
            <v xml:space="preserve">Muhammad Hanif </v>
          </cell>
          <cell r="F205">
            <v>28221</v>
          </cell>
          <cell r="G205">
            <v>36178</v>
          </cell>
          <cell r="H205" t="str">
            <v>BA</v>
          </cell>
          <cell r="I205" t="str">
            <v>Khanewal</v>
          </cell>
          <cell r="J205" t="str">
            <v>Khanewal</v>
          </cell>
          <cell r="K205" t="str">
            <v>City Khanewal</v>
          </cell>
          <cell r="L205">
            <v>0</v>
          </cell>
          <cell r="M205">
            <v>36178</v>
          </cell>
          <cell r="N205" t="str">
            <v>Guard DPO Office Khanewal</v>
          </cell>
          <cell r="O205" t="str">
            <v>PS</v>
          </cell>
          <cell r="P205" t="str">
            <v>PS Saddar Khanewal</v>
          </cell>
          <cell r="Q205" t="str">
            <v>G. Duty</v>
          </cell>
          <cell r="R205">
            <v>45454</v>
          </cell>
        </row>
        <row r="206">
          <cell r="E206" t="str">
            <v>Khadim Hussain</v>
          </cell>
          <cell r="F206">
            <v>30418</v>
          </cell>
          <cell r="G206">
            <v>38918</v>
          </cell>
          <cell r="H206" t="str">
            <v>BA</v>
          </cell>
          <cell r="I206" t="str">
            <v>Khanewal</v>
          </cell>
          <cell r="J206" t="str">
            <v>Kabirwala</v>
          </cell>
          <cell r="K206" t="str">
            <v>Nawan Shehr</v>
          </cell>
          <cell r="L206" t="str">
            <v>--</v>
          </cell>
          <cell r="M206">
            <v>38918</v>
          </cell>
          <cell r="N206" t="str">
            <v>PS Sadar Kabirwala</v>
          </cell>
          <cell r="O206" t="str">
            <v>PS</v>
          </cell>
          <cell r="P206" t="str">
            <v>PS Saddar Khanewal</v>
          </cell>
          <cell r="Q206" t="str">
            <v>G. Duty</v>
          </cell>
          <cell r="R206">
            <v>45454</v>
          </cell>
        </row>
        <row r="207">
          <cell r="E207" t="str">
            <v>Zulafqar Ali</v>
          </cell>
          <cell r="F207">
            <v>34782</v>
          </cell>
          <cell r="G207">
            <v>42649</v>
          </cell>
          <cell r="H207" t="str">
            <v>Matric</v>
          </cell>
          <cell r="I207" t="str">
            <v>Khanewal</v>
          </cell>
          <cell r="J207" t="str">
            <v>Kabirwala</v>
          </cell>
          <cell r="K207" t="str">
            <v>Sadar Kabirwala</v>
          </cell>
          <cell r="L207" t="str">
            <v>Reinstated in Service</v>
          </cell>
          <cell r="M207">
            <v>45356</v>
          </cell>
          <cell r="N207" t="str">
            <v>Police Line</v>
          </cell>
          <cell r="O207" t="str">
            <v>PS</v>
          </cell>
          <cell r="P207" t="str">
            <v>PS Sadar Khanewal</v>
          </cell>
          <cell r="Q207" t="str">
            <v>G. Duty</v>
          </cell>
          <cell r="R207">
            <v>45467</v>
          </cell>
        </row>
        <row r="208">
          <cell r="E208" t="str">
            <v>Haq Nawaz</v>
          </cell>
          <cell r="F208">
            <v>29952</v>
          </cell>
          <cell r="G208">
            <v>38905</v>
          </cell>
          <cell r="H208" t="str">
            <v>BA</v>
          </cell>
          <cell r="I208" t="str">
            <v>Khanewal</v>
          </cell>
          <cell r="J208" t="str">
            <v>Kabirwala</v>
          </cell>
          <cell r="K208" t="str">
            <v>Abdul hakeem</v>
          </cell>
          <cell r="L208" t="str">
            <v>--</v>
          </cell>
          <cell r="M208">
            <v>38905</v>
          </cell>
          <cell r="N208" t="str">
            <v>PS Makhdoom Pur</v>
          </cell>
          <cell r="O208" t="str">
            <v>PS</v>
          </cell>
          <cell r="P208" t="str">
            <v>PS Sadar Khanewal</v>
          </cell>
          <cell r="Q208" t="str">
            <v>G. Duty</v>
          </cell>
          <cell r="R208">
            <v>45467</v>
          </cell>
        </row>
        <row r="209">
          <cell r="E209" t="str">
            <v>M. Aslam</v>
          </cell>
          <cell r="F209">
            <v>34907</v>
          </cell>
          <cell r="G209">
            <v>42116</v>
          </cell>
          <cell r="H209" t="str">
            <v>Metric</v>
          </cell>
          <cell r="I209" t="str">
            <v>Khanewal</v>
          </cell>
          <cell r="J209" t="str">
            <v>KAbirwala</v>
          </cell>
          <cell r="K209" t="str">
            <v>Adda 12 Meel</v>
          </cell>
          <cell r="L209" t="str">
            <v>PC-3</v>
          </cell>
          <cell r="M209">
            <v>43255</v>
          </cell>
          <cell r="N209" t="str">
            <v>Lower Class Course</v>
          </cell>
          <cell r="O209" t="str">
            <v>PS</v>
          </cell>
          <cell r="P209" t="str">
            <v>PS Sadar Khanewal</v>
          </cell>
          <cell r="Q209" t="str">
            <v>G. Duty</v>
          </cell>
          <cell r="R209">
            <v>45530</v>
          </cell>
        </row>
        <row r="210">
          <cell r="E210" t="str">
            <v>Abdul Shakoor</v>
          </cell>
          <cell r="F210">
            <v>34318</v>
          </cell>
          <cell r="G210">
            <v>42167</v>
          </cell>
          <cell r="H210" t="str">
            <v>B.Com</v>
          </cell>
          <cell r="I210" t="str">
            <v>Khanewal</v>
          </cell>
          <cell r="J210" t="str">
            <v>Mian Channu</v>
          </cell>
          <cell r="K210" t="str">
            <v>Sadar Mian Channu</v>
          </cell>
          <cell r="L210" t="str">
            <v>PC-4</v>
          </cell>
          <cell r="M210">
            <v>43255</v>
          </cell>
          <cell r="N210" t="str">
            <v>PS Chab Kalan</v>
          </cell>
          <cell r="O210" t="str">
            <v>PS</v>
          </cell>
          <cell r="P210" t="str">
            <v>PS Sadar Khanewal</v>
          </cell>
          <cell r="Q210" t="str">
            <v>Chowki Nawan Chowk</v>
          </cell>
          <cell r="R210">
            <v>45467</v>
          </cell>
        </row>
        <row r="211">
          <cell r="E211" t="str">
            <v>Zafar Ahmad</v>
          </cell>
          <cell r="F211">
            <v>34339</v>
          </cell>
          <cell r="G211">
            <v>42193</v>
          </cell>
          <cell r="H211" t="str">
            <v>I.Com</v>
          </cell>
          <cell r="I211" t="str">
            <v>Khanewal</v>
          </cell>
          <cell r="J211" t="str">
            <v>Khanewal</v>
          </cell>
          <cell r="K211" t="str">
            <v>Makhdoom Pur</v>
          </cell>
          <cell r="L211" t="str">
            <v>PC-3 Multan</v>
          </cell>
          <cell r="M211">
            <v>44946</v>
          </cell>
          <cell r="N211" t="str">
            <v>Police Line</v>
          </cell>
          <cell r="O211" t="str">
            <v>PS</v>
          </cell>
          <cell r="P211" t="str">
            <v>PS Sadar Khanewal</v>
          </cell>
          <cell r="Q211" t="str">
            <v>Chowki Nawan Chowk</v>
          </cell>
          <cell r="R211">
            <v>45514</v>
          </cell>
        </row>
        <row r="212">
          <cell r="E212" t="str">
            <v xml:space="preserve">Malik Hussain </v>
          </cell>
          <cell r="F212">
            <v>30802</v>
          </cell>
          <cell r="G212">
            <v>38918</v>
          </cell>
          <cell r="H212" t="str">
            <v>I.Cs</v>
          </cell>
          <cell r="I212" t="str">
            <v>Khanewal</v>
          </cell>
          <cell r="J212" t="str">
            <v>Jahanian</v>
          </cell>
          <cell r="K212" t="str">
            <v>Jahanian</v>
          </cell>
          <cell r="L212" t="str">
            <v>--</v>
          </cell>
          <cell r="M212">
            <v>38918</v>
          </cell>
          <cell r="N212" t="str">
            <v>Police Line</v>
          </cell>
          <cell r="O212" t="str">
            <v>PS</v>
          </cell>
          <cell r="P212" t="str">
            <v>PS Sadar Khanewal</v>
          </cell>
          <cell r="Q212" t="str">
            <v>Chowki Nawan Chowk</v>
          </cell>
          <cell r="R212">
            <v>45514</v>
          </cell>
        </row>
        <row r="213">
          <cell r="E213" t="str">
            <v>Khizar Hayat Sajid</v>
          </cell>
          <cell r="F213">
            <v>35796</v>
          </cell>
          <cell r="G213">
            <v>43806</v>
          </cell>
          <cell r="H213" t="str">
            <v>F.Sc</v>
          </cell>
          <cell r="I213" t="str">
            <v>Khanewal</v>
          </cell>
          <cell r="J213" t="str">
            <v>Mian Channu</v>
          </cell>
          <cell r="K213" t="str">
            <v>City Mian Channu</v>
          </cell>
          <cell r="L213" t="str">
            <v>Punjab Constabulary</v>
          </cell>
          <cell r="M213">
            <v>45356</v>
          </cell>
          <cell r="N213" t="str">
            <v>Lower Class Course</v>
          </cell>
          <cell r="O213" t="str">
            <v>PS</v>
          </cell>
          <cell r="P213" t="str">
            <v>PS Sadar Khanewal</v>
          </cell>
          <cell r="Q213" t="str">
            <v>Chowki Nawan Chowk</v>
          </cell>
          <cell r="R213">
            <v>45530</v>
          </cell>
        </row>
        <row r="214">
          <cell r="E214" t="str">
            <v>Altaf Hussain</v>
          </cell>
          <cell r="F214">
            <v>32756</v>
          </cell>
          <cell r="G214">
            <v>42116</v>
          </cell>
          <cell r="H214" t="str">
            <v>B.Com</v>
          </cell>
          <cell r="I214" t="str">
            <v>Khanewal</v>
          </cell>
          <cell r="J214" t="str">
            <v>Mian Channu</v>
          </cell>
          <cell r="K214" t="str">
            <v>Sadar Mian Channu</v>
          </cell>
          <cell r="L214" t="str">
            <v>PC-3</v>
          </cell>
          <cell r="M214">
            <v>43256</v>
          </cell>
          <cell r="N214" t="str">
            <v>Lower Class Course</v>
          </cell>
          <cell r="O214" t="str">
            <v>PS</v>
          </cell>
          <cell r="P214" t="str">
            <v>PS Sadar Khanewal</v>
          </cell>
          <cell r="Q214" t="str">
            <v>Chowki Nawan Chowk</v>
          </cell>
          <cell r="R214">
            <v>45530</v>
          </cell>
        </row>
        <row r="215">
          <cell r="E215" t="str">
            <v>Hafiz Khurshid Ahmad</v>
          </cell>
          <cell r="F215">
            <v>32243</v>
          </cell>
          <cell r="G215">
            <v>40543</v>
          </cell>
          <cell r="H215" t="str">
            <v>B.Com</v>
          </cell>
          <cell r="I215" t="str">
            <v>Khanewal</v>
          </cell>
          <cell r="J215" t="str">
            <v>Jehanian</v>
          </cell>
          <cell r="K215" t="str">
            <v>Thatha Sadiqabad</v>
          </cell>
          <cell r="L215" t="str">
            <v>promoted as HC</v>
          </cell>
          <cell r="M215">
            <v>45057</v>
          </cell>
          <cell r="N215" t="str">
            <v>Police Line</v>
          </cell>
          <cell r="O215" t="str">
            <v>PS</v>
          </cell>
          <cell r="P215" t="str">
            <v>PS Sadar Khanewal</v>
          </cell>
          <cell r="Q215" t="str">
            <v>G. Duty</v>
          </cell>
          <cell r="R215">
            <v>45523</v>
          </cell>
        </row>
        <row r="216">
          <cell r="E216" t="str">
            <v>Allah Ditta</v>
          </cell>
          <cell r="F216">
            <v>36357</v>
          </cell>
          <cell r="G216">
            <v>43806</v>
          </cell>
          <cell r="H216" t="str">
            <v>Matric</v>
          </cell>
          <cell r="I216" t="str">
            <v>Khanewal</v>
          </cell>
          <cell r="J216" t="str">
            <v>Kabirwala</v>
          </cell>
          <cell r="K216" t="str">
            <v>Sarai Sidhu</v>
          </cell>
          <cell r="L216" t="str">
            <v>Newly recruited</v>
          </cell>
          <cell r="M216">
            <v>43806</v>
          </cell>
          <cell r="N216" t="str">
            <v>Police Line</v>
          </cell>
          <cell r="O216" t="str">
            <v>PS</v>
          </cell>
          <cell r="P216" t="str">
            <v>PS Sadar Khanewal</v>
          </cell>
          <cell r="Q216" t="str">
            <v>G. Duty</v>
          </cell>
          <cell r="R216">
            <v>45523</v>
          </cell>
        </row>
        <row r="217">
          <cell r="E217" t="str">
            <v>Muhammad Pehlwan</v>
          </cell>
          <cell r="F217">
            <v>35958</v>
          </cell>
          <cell r="G217">
            <v>43223</v>
          </cell>
          <cell r="H217" t="str">
            <v>Matric</v>
          </cell>
          <cell r="I217" t="str">
            <v>Khanewal</v>
          </cell>
          <cell r="J217" t="str">
            <v>Mian Channu</v>
          </cell>
          <cell r="K217" t="str">
            <v>Tulamba</v>
          </cell>
          <cell r="L217" t="str">
            <v>Newly Recruited</v>
          </cell>
          <cell r="M217">
            <v>43225</v>
          </cell>
          <cell r="N217" t="str">
            <v>First Reserve Police Line</v>
          </cell>
          <cell r="O217" t="str">
            <v>PS</v>
          </cell>
          <cell r="P217" t="str">
            <v>PS Sadar Khanewal</v>
          </cell>
          <cell r="Q217" t="str">
            <v>G. Duty</v>
          </cell>
          <cell r="R217">
            <v>45523</v>
          </cell>
        </row>
        <row r="218">
          <cell r="E218" t="str">
            <v>Nazir Ahmad</v>
          </cell>
          <cell r="F218">
            <v>33642</v>
          </cell>
          <cell r="G218">
            <v>42116</v>
          </cell>
          <cell r="H218" t="str">
            <v>BA</v>
          </cell>
          <cell r="I218" t="str">
            <v>Khanewal</v>
          </cell>
          <cell r="J218" t="str">
            <v>Jahanian</v>
          </cell>
          <cell r="K218" t="str">
            <v>Jahanian</v>
          </cell>
          <cell r="L218" t="str">
            <v>PC Farooqabad</v>
          </cell>
          <cell r="M218">
            <v>43241</v>
          </cell>
          <cell r="N218" t="str">
            <v>Police Line</v>
          </cell>
          <cell r="O218" t="str">
            <v>PS</v>
          </cell>
          <cell r="P218" t="str">
            <v>PS Sadar Khanewal</v>
          </cell>
          <cell r="Q218" t="str">
            <v>G. Duty</v>
          </cell>
          <cell r="R218">
            <v>45547</v>
          </cell>
        </row>
        <row r="219">
          <cell r="E219" t="str">
            <v>M. Younis</v>
          </cell>
          <cell r="F219">
            <v>33673</v>
          </cell>
          <cell r="G219">
            <v>42116</v>
          </cell>
          <cell r="H219" t="str">
            <v>BA</v>
          </cell>
          <cell r="I219" t="str">
            <v>Khanewal</v>
          </cell>
          <cell r="J219" t="str">
            <v>Jahanian</v>
          </cell>
          <cell r="K219" t="str">
            <v>Thattha Saidq Abad</v>
          </cell>
          <cell r="L219" t="str">
            <v>PC-3</v>
          </cell>
          <cell r="M219">
            <v>43257</v>
          </cell>
          <cell r="N219" t="str">
            <v>Sahulat Center Jahanian</v>
          </cell>
          <cell r="O219" t="str">
            <v>PS</v>
          </cell>
          <cell r="P219" t="str">
            <v>PS Sadar Khanewal</v>
          </cell>
          <cell r="Q219" t="str">
            <v>G. Duty</v>
          </cell>
          <cell r="R219">
            <v>45558</v>
          </cell>
        </row>
        <row r="220">
          <cell r="E220" t="str">
            <v>M. Ashraf</v>
          </cell>
          <cell r="F220">
            <v>34188</v>
          </cell>
          <cell r="G220">
            <v>42116</v>
          </cell>
          <cell r="H220" t="str">
            <v>I.C.S</v>
          </cell>
          <cell r="I220" t="str">
            <v>Khanewal</v>
          </cell>
          <cell r="J220" t="str">
            <v>Mian Channu</v>
          </cell>
          <cell r="K220" t="str">
            <v>Tulamba</v>
          </cell>
          <cell r="L220" t="str">
            <v>PC Farooqabad</v>
          </cell>
          <cell r="M220">
            <v>43230</v>
          </cell>
          <cell r="N220" t="str">
            <v>Sahulat Centre Mian Channu</v>
          </cell>
          <cell r="O220" t="str">
            <v>PS</v>
          </cell>
          <cell r="P220" t="str">
            <v>PS Sadar Khanewal</v>
          </cell>
          <cell r="Q220" t="str">
            <v>G. Duty</v>
          </cell>
          <cell r="R220">
            <v>45558</v>
          </cell>
        </row>
        <row r="221">
          <cell r="E221" t="str">
            <v>Riaz Hussain</v>
          </cell>
          <cell r="F221">
            <v>32787</v>
          </cell>
          <cell r="G221">
            <v>42667</v>
          </cell>
          <cell r="H221" t="str">
            <v>Matric</v>
          </cell>
          <cell r="I221" t="str">
            <v>Khanewal</v>
          </cell>
          <cell r="J221" t="str">
            <v>Kabirwala</v>
          </cell>
          <cell r="K221" t="str">
            <v>Saddar Kabirwala</v>
          </cell>
          <cell r="L221" t="str">
            <v>--</v>
          </cell>
          <cell r="M221">
            <v>42667</v>
          </cell>
          <cell r="N221" t="str">
            <v>PS Sarai Sidhu</v>
          </cell>
          <cell r="O221" t="str">
            <v>Driver</v>
          </cell>
          <cell r="P221" t="str">
            <v>Chowki Nawan Chowk</v>
          </cell>
          <cell r="Q221" t="str">
            <v>Driver Chowki Nawan Chowk</v>
          </cell>
          <cell r="R221">
            <v>45541</v>
          </cell>
        </row>
        <row r="222">
          <cell r="E222" t="str">
            <v>Berkhat Ali</v>
          </cell>
          <cell r="F222">
            <v>25828</v>
          </cell>
          <cell r="G222">
            <v>34808</v>
          </cell>
          <cell r="H222" t="str">
            <v>Under Matric</v>
          </cell>
          <cell r="I222" t="str">
            <v>Khanewal</v>
          </cell>
          <cell r="J222" t="str">
            <v>Kabirwala</v>
          </cell>
          <cell r="K222" t="str">
            <v>Adda 12 Meel</v>
          </cell>
          <cell r="L222">
            <v>0</v>
          </cell>
          <cell r="M222">
            <v>40647</v>
          </cell>
          <cell r="N222" t="str">
            <v>PS Sadar Kabirwala</v>
          </cell>
          <cell r="O222" t="str">
            <v>Driver</v>
          </cell>
          <cell r="P222" t="str">
            <v>PS Sadar Khanewal</v>
          </cell>
          <cell r="Q222" t="str">
            <v>Driver</v>
          </cell>
          <cell r="R222">
            <v>45541</v>
          </cell>
        </row>
        <row r="223">
          <cell r="E223" t="str">
            <v>Abdul Ghafoor</v>
          </cell>
          <cell r="F223">
            <v>25569</v>
          </cell>
          <cell r="G223">
            <v>33150</v>
          </cell>
          <cell r="H223" t="str">
            <v>Matric</v>
          </cell>
          <cell r="I223" t="str">
            <v>Khanewal</v>
          </cell>
          <cell r="J223" t="str">
            <v>Jahanian</v>
          </cell>
          <cell r="K223" t="str">
            <v>Jahanian</v>
          </cell>
          <cell r="L223">
            <v>0</v>
          </cell>
          <cell r="M223">
            <v>34744</v>
          </cell>
          <cell r="N223" t="str">
            <v>PS Sadar Kabirwala</v>
          </cell>
          <cell r="O223" t="str">
            <v>Driver</v>
          </cell>
          <cell r="P223" t="str">
            <v>PS Sadar Khanewal</v>
          </cell>
          <cell r="Q223" t="str">
            <v>Driver</v>
          </cell>
          <cell r="R223">
            <v>45541</v>
          </cell>
        </row>
        <row r="224">
          <cell r="E224" t="str">
            <v>Muhammad Zafar</v>
          </cell>
          <cell r="F224">
            <v>27877</v>
          </cell>
          <cell r="G224">
            <v>36182</v>
          </cell>
          <cell r="H224" t="str">
            <v>Under Matric</v>
          </cell>
          <cell r="I224" t="str">
            <v>Khanewal</v>
          </cell>
          <cell r="J224" t="str">
            <v>Kabirwala</v>
          </cell>
          <cell r="K224" t="str">
            <v>City Kabirwala</v>
          </cell>
          <cell r="L224" t="str">
            <v>PC Multan</v>
          </cell>
          <cell r="M224">
            <v>38112</v>
          </cell>
          <cell r="N224" t="str">
            <v>PS Sadar Kabirwala</v>
          </cell>
          <cell r="O224" t="str">
            <v>Driver</v>
          </cell>
          <cell r="P224" t="str">
            <v>PS Sadar Khanewal</v>
          </cell>
          <cell r="Q224" t="str">
            <v>Driver</v>
          </cell>
          <cell r="R224">
            <v>45541</v>
          </cell>
        </row>
        <row r="225">
          <cell r="E225" t="str">
            <v>Muhammad Iqbal</v>
          </cell>
          <cell r="F225">
            <v>37271</v>
          </cell>
          <cell r="G225">
            <v>44823</v>
          </cell>
          <cell r="H225" t="str">
            <v>F.Sc</v>
          </cell>
          <cell r="I225" t="str">
            <v>Khanewal</v>
          </cell>
          <cell r="J225" t="str">
            <v>Jahanian</v>
          </cell>
          <cell r="K225" t="str">
            <v>Jahanian</v>
          </cell>
          <cell r="L225" t="str">
            <v>Newly Recruited</v>
          </cell>
          <cell r="M225">
            <v>44823</v>
          </cell>
          <cell r="N225" t="str">
            <v>Police Line</v>
          </cell>
          <cell r="O225" t="str">
            <v>PS</v>
          </cell>
          <cell r="P225" t="str">
            <v>PS Sadar Khanewal</v>
          </cell>
          <cell r="Q225" t="str">
            <v>N/Moharir</v>
          </cell>
          <cell r="R225">
            <v>45121</v>
          </cell>
        </row>
        <row r="226">
          <cell r="E226" t="str">
            <v>Muhammad Shahid Nadeem</v>
          </cell>
          <cell r="F226">
            <v>36484</v>
          </cell>
          <cell r="G226">
            <v>43806</v>
          </cell>
          <cell r="H226" t="str">
            <v>Matric</v>
          </cell>
          <cell r="I226" t="str">
            <v>Khanewal</v>
          </cell>
          <cell r="J226" t="str">
            <v>Khanewal</v>
          </cell>
          <cell r="K226" t="str">
            <v>City Khanewal</v>
          </cell>
          <cell r="L226" t="str">
            <v>Newly recruited</v>
          </cell>
          <cell r="M226">
            <v>43806</v>
          </cell>
          <cell r="N226" t="str">
            <v>Guard Session Court Khanewal</v>
          </cell>
          <cell r="O226" t="str">
            <v>PS</v>
          </cell>
          <cell r="P226" t="str">
            <v>PS Sadar Khanewal</v>
          </cell>
          <cell r="Q226" t="str">
            <v>N/Moharir</v>
          </cell>
          <cell r="R226">
            <v>45155</v>
          </cell>
        </row>
        <row r="227">
          <cell r="E227" t="str">
            <v>Nasir Khan</v>
          </cell>
          <cell r="F227">
            <v>37186</v>
          </cell>
          <cell r="G227">
            <v>44823</v>
          </cell>
          <cell r="H227" t="str">
            <v>Matric</v>
          </cell>
          <cell r="I227" t="str">
            <v>Khanewal</v>
          </cell>
          <cell r="J227" t="str">
            <v>Jahanian</v>
          </cell>
          <cell r="K227" t="str">
            <v>Jahanian</v>
          </cell>
          <cell r="L227" t="str">
            <v>Newly Recruited</v>
          </cell>
          <cell r="M227">
            <v>44823</v>
          </cell>
          <cell r="N227" t="str">
            <v>Legal Branch Khanewal</v>
          </cell>
          <cell r="O227" t="str">
            <v>PS</v>
          </cell>
          <cell r="P227" t="str">
            <v>PS Sadar Khanewal</v>
          </cell>
          <cell r="Q227" t="str">
            <v>G. Duty</v>
          </cell>
          <cell r="R227">
            <v>45467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>-</v>
          </cell>
          <cell r="R228">
            <v>0</v>
          </cell>
        </row>
        <row r="229">
          <cell r="E229" t="str">
            <v>Father Name</v>
          </cell>
          <cell r="F229" t="str">
            <v>Date of birth</v>
          </cell>
          <cell r="G229" t="str">
            <v>Date of Recruitment</v>
          </cell>
          <cell r="H229" t="str">
            <v>education</v>
          </cell>
          <cell r="I229" t="str">
            <v>Home District</v>
          </cell>
          <cell r="J229" t="str">
            <v>Home Tehsil</v>
          </cell>
          <cell r="K229" t="str">
            <v>Home Police Station</v>
          </cell>
          <cell r="L229" t="str">
            <v>Arrivel from Dist/Unit.</v>
          </cell>
          <cell r="M229" t="str">
            <v>Date of Posting in this district</v>
          </cell>
          <cell r="N229" t="str">
            <v>Previous Posting</v>
          </cell>
          <cell r="O229" t="str">
            <v>Current PostingUnit</v>
          </cell>
          <cell r="P229" t="str">
            <v>Current Posting</v>
          </cell>
          <cell r="Q229" t="str">
            <v>Posted As</v>
          </cell>
          <cell r="R229" t="str">
            <v>Date of Posting</v>
          </cell>
        </row>
        <row r="230">
          <cell r="E230" t="str">
            <v>Khursheed Ahmad</v>
          </cell>
          <cell r="F230">
            <v>29969</v>
          </cell>
          <cell r="G230">
            <v>37821</v>
          </cell>
          <cell r="H230" t="str">
            <v>MA</v>
          </cell>
          <cell r="I230" t="str">
            <v>Khanewal</v>
          </cell>
          <cell r="J230" t="str">
            <v>Kabirwala</v>
          </cell>
          <cell r="K230" t="str">
            <v>Sadar Kabirwala</v>
          </cell>
          <cell r="L230" t="str">
            <v>RPO Office Multan</v>
          </cell>
          <cell r="M230">
            <v>45019</v>
          </cell>
          <cell r="N230" t="str">
            <v>Police Line</v>
          </cell>
          <cell r="O230" t="str">
            <v>PS</v>
          </cell>
          <cell r="P230" t="str">
            <v>PS Khanewal Kohna</v>
          </cell>
          <cell r="Q230" t="str">
            <v>SHO</v>
          </cell>
          <cell r="R230">
            <v>45569</v>
          </cell>
        </row>
        <row r="231">
          <cell r="E231" t="str">
            <v>Sardar Abdul Wahid</v>
          </cell>
          <cell r="F231">
            <v>27762</v>
          </cell>
          <cell r="G231">
            <v>37050</v>
          </cell>
          <cell r="H231" t="str">
            <v>B.A</v>
          </cell>
          <cell r="I231" t="str">
            <v>Vehari</v>
          </cell>
          <cell r="J231" t="str">
            <v>Burewala</v>
          </cell>
          <cell r="K231" t="str">
            <v>Sheikh Fazil</v>
          </cell>
          <cell r="L231" t="str">
            <v>Region Multan</v>
          </cell>
          <cell r="M231">
            <v>43353</v>
          </cell>
          <cell r="N231" t="str">
            <v>Police Line</v>
          </cell>
          <cell r="O231" t="str">
            <v>PS</v>
          </cell>
          <cell r="P231" t="str">
            <v>PS Khanewal Kohna</v>
          </cell>
          <cell r="Q231" t="str">
            <v>Inv Staff</v>
          </cell>
          <cell r="R231">
            <v>45572</v>
          </cell>
        </row>
        <row r="232">
          <cell r="E232" t="str">
            <v>Allah Bakhash</v>
          </cell>
          <cell r="F232">
            <v>23747</v>
          </cell>
          <cell r="G232">
            <v>31775</v>
          </cell>
          <cell r="H232" t="str">
            <v>FA</v>
          </cell>
          <cell r="I232" t="str">
            <v>Khanewal</v>
          </cell>
          <cell r="J232" t="str">
            <v>Kabirwala</v>
          </cell>
          <cell r="K232" t="str">
            <v>City kabirwala</v>
          </cell>
          <cell r="L232" t="str">
            <v>Lodhran</v>
          </cell>
          <cell r="M232">
            <v>43026</v>
          </cell>
          <cell r="N232" t="str">
            <v>Police Line</v>
          </cell>
          <cell r="O232" t="str">
            <v>PS</v>
          </cell>
          <cell r="P232" t="str">
            <v>PS Khanewal Kohna</v>
          </cell>
          <cell r="Q232" t="str">
            <v>Inv Staff (SSOIU)</v>
          </cell>
          <cell r="R232">
            <v>45524</v>
          </cell>
        </row>
        <row r="233">
          <cell r="E233" t="str">
            <v>Riasat Ali</v>
          </cell>
          <cell r="F233">
            <v>34560</v>
          </cell>
          <cell r="G233">
            <v>42879</v>
          </cell>
          <cell r="H233" t="str">
            <v>B.Sc</v>
          </cell>
          <cell r="I233" t="str">
            <v>Khanewal</v>
          </cell>
          <cell r="J233" t="str">
            <v>Jahanian</v>
          </cell>
          <cell r="K233" t="str">
            <v>Jahanian</v>
          </cell>
          <cell r="L233" t="str">
            <v>New Recruited</v>
          </cell>
          <cell r="M233">
            <v>42879</v>
          </cell>
          <cell r="N233" t="str">
            <v>PS Sadar Khanewal</v>
          </cell>
          <cell r="O233" t="str">
            <v>PS</v>
          </cell>
          <cell r="P233" t="str">
            <v>PS Khanewal Kohna</v>
          </cell>
          <cell r="Q233" t="str">
            <v>Inv Staff</v>
          </cell>
          <cell r="R233">
            <v>45572</v>
          </cell>
        </row>
        <row r="234">
          <cell r="E234" t="str">
            <v>Abdul Qayyum</v>
          </cell>
          <cell r="F234">
            <v>34776</v>
          </cell>
          <cell r="G234">
            <v>44119</v>
          </cell>
          <cell r="H234" t="str">
            <v>BSC</v>
          </cell>
          <cell r="I234" t="str">
            <v>Khanewal</v>
          </cell>
          <cell r="J234" t="str">
            <v>Mian Channu</v>
          </cell>
          <cell r="K234" t="str">
            <v>City Mian Channu</v>
          </cell>
          <cell r="L234" t="str">
            <v>New Recruited</v>
          </cell>
          <cell r="M234">
            <v>44119</v>
          </cell>
          <cell r="N234" t="str">
            <v>PS Kacha Khuh</v>
          </cell>
          <cell r="O234" t="str">
            <v>PS</v>
          </cell>
          <cell r="P234" t="str">
            <v>PS Khanewal Kohna</v>
          </cell>
          <cell r="Q234" t="str">
            <v>Inv Staff</v>
          </cell>
          <cell r="R234">
            <v>45501</v>
          </cell>
        </row>
        <row r="235">
          <cell r="E235" t="str">
            <v>Ejaz Ahmad</v>
          </cell>
          <cell r="F235">
            <v>26299</v>
          </cell>
          <cell r="G235">
            <v>33162</v>
          </cell>
          <cell r="H235" t="str">
            <v>FA</v>
          </cell>
          <cell r="I235" t="str">
            <v>Khanewal</v>
          </cell>
          <cell r="J235" t="str">
            <v>Mian Channu</v>
          </cell>
          <cell r="K235" t="str">
            <v>Chab Kalan</v>
          </cell>
          <cell r="L235" t="str">
            <v>Lahore</v>
          </cell>
          <cell r="M235">
            <v>39711</v>
          </cell>
          <cell r="N235" t="str">
            <v>PS Khanewal Kohna</v>
          </cell>
          <cell r="O235" t="str">
            <v>PS</v>
          </cell>
          <cell r="P235" t="str">
            <v>PS Khanewal Kohna</v>
          </cell>
          <cell r="Q235" t="str">
            <v>Inv Staff</v>
          </cell>
          <cell r="R235">
            <v>44449</v>
          </cell>
        </row>
        <row r="236">
          <cell r="E236" t="str">
            <v>Hashmat Ali</v>
          </cell>
          <cell r="F236">
            <v>29698</v>
          </cell>
          <cell r="G236">
            <v>37512</v>
          </cell>
          <cell r="H236" t="str">
            <v>Matric</v>
          </cell>
          <cell r="I236" t="str">
            <v>Khanewal</v>
          </cell>
          <cell r="J236" t="str">
            <v>Kabirwala</v>
          </cell>
          <cell r="K236" t="str">
            <v>Sadar Kabirwala</v>
          </cell>
          <cell r="L236">
            <v>0</v>
          </cell>
          <cell r="M236">
            <v>37512</v>
          </cell>
          <cell r="N236" t="str">
            <v>Guard Election Commision Office</v>
          </cell>
          <cell r="O236" t="str">
            <v>PS</v>
          </cell>
          <cell r="P236" t="str">
            <v>PS Khanewal Kohna</v>
          </cell>
          <cell r="Q236" t="str">
            <v>Inv Staff</v>
          </cell>
          <cell r="R236">
            <v>45062</v>
          </cell>
        </row>
        <row r="237">
          <cell r="E237" t="str">
            <v>Muhammad Zafar Khan</v>
          </cell>
          <cell r="F237">
            <v>28460</v>
          </cell>
          <cell r="G237">
            <v>37512</v>
          </cell>
          <cell r="H237" t="str">
            <v>FA</v>
          </cell>
          <cell r="I237" t="str">
            <v>Khanewal</v>
          </cell>
          <cell r="J237" t="str">
            <v>Kabirwala</v>
          </cell>
          <cell r="K237" t="str">
            <v>Sarai Sidhu</v>
          </cell>
          <cell r="L237" t="str">
            <v>RPO Office Multan</v>
          </cell>
          <cell r="M237">
            <v>45306</v>
          </cell>
          <cell r="N237" t="str">
            <v>Police Line</v>
          </cell>
          <cell r="O237" t="str">
            <v>PS</v>
          </cell>
          <cell r="P237" t="str">
            <v>PS Khanewal Kohna</v>
          </cell>
          <cell r="Q237" t="str">
            <v>Inv Staff</v>
          </cell>
          <cell r="R237">
            <v>45343</v>
          </cell>
        </row>
        <row r="238">
          <cell r="E238" t="str">
            <v>Muhammad Hussain</v>
          </cell>
          <cell r="F238">
            <v>31817</v>
          </cell>
          <cell r="G238">
            <v>42494</v>
          </cell>
          <cell r="H238" t="str">
            <v>BA</v>
          </cell>
          <cell r="I238" t="str">
            <v>Khanewal</v>
          </cell>
          <cell r="J238" t="str">
            <v>Jahanian</v>
          </cell>
          <cell r="K238" t="str">
            <v>Jahanian</v>
          </cell>
          <cell r="L238" t="str">
            <v>Recruited as T/ASI</v>
          </cell>
          <cell r="M238">
            <v>42455</v>
          </cell>
          <cell r="N238" t="str">
            <v>PS Sadar Khanewal</v>
          </cell>
          <cell r="O238" t="str">
            <v>PS</v>
          </cell>
          <cell r="P238" t="str">
            <v>PS Khanewal Kohna</v>
          </cell>
          <cell r="Q238" t="str">
            <v>Inv Staff</v>
          </cell>
          <cell r="R238">
            <v>45498</v>
          </cell>
        </row>
        <row r="239">
          <cell r="E239" t="str">
            <v xml:space="preserve">Muhammad Fazal </v>
          </cell>
          <cell r="F239">
            <v>24097</v>
          </cell>
          <cell r="G239">
            <v>31675</v>
          </cell>
          <cell r="H239" t="str">
            <v>Matric</v>
          </cell>
          <cell r="I239" t="str">
            <v>Khanewal</v>
          </cell>
          <cell r="J239" t="str">
            <v>Mian Channu</v>
          </cell>
          <cell r="K239" t="str">
            <v>Saddar Mian Channu</v>
          </cell>
          <cell r="L239" t="str">
            <v>EPF</v>
          </cell>
          <cell r="M239">
            <v>40207</v>
          </cell>
          <cell r="N239" t="str">
            <v>PS Haveli Koranga</v>
          </cell>
          <cell r="O239" t="str">
            <v>PS</v>
          </cell>
          <cell r="P239" t="str">
            <v>PS Khanewal Kohna</v>
          </cell>
          <cell r="Q239" t="str">
            <v>Inv Staff</v>
          </cell>
          <cell r="R239">
            <v>45518</v>
          </cell>
        </row>
        <row r="240">
          <cell r="E240" t="str">
            <v>Ghulam fareed</v>
          </cell>
          <cell r="F240">
            <v>31472</v>
          </cell>
          <cell r="G240">
            <v>39910</v>
          </cell>
          <cell r="H240" t="str">
            <v>MA</v>
          </cell>
          <cell r="I240" t="str">
            <v>Khanewal</v>
          </cell>
          <cell r="J240" t="str">
            <v>Kabirwala</v>
          </cell>
          <cell r="K240" t="str">
            <v>city kabirwala</v>
          </cell>
          <cell r="L240" t="str">
            <v>promoted as HC</v>
          </cell>
          <cell r="M240">
            <v>45091</v>
          </cell>
          <cell r="N240" t="str">
            <v>PS Nawan Shehr</v>
          </cell>
          <cell r="O240" t="str">
            <v>PS</v>
          </cell>
          <cell r="P240" t="str">
            <v>PS Khanewal Kohna</v>
          </cell>
          <cell r="Q240" t="str">
            <v>Moharir</v>
          </cell>
          <cell r="R240">
            <v>45540</v>
          </cell>
        </row>
        <row r="241">
          <cell r="E241" t="str">
            <v>Qamis ul din</v>
          </cell>
          <cell r="F241">
            <v>30052</v>
          </cell>
          <cell r="G241">
            <v>38912</v>
          </cell>
          <cell r="H241" t="str">
            <v>MA</v>
          </cell>
          <cell r="I241" t="str">
            <v>Khanewal</v>
          </cell>
          <cell r="J241" t="str">
            <v>Khanewal</v>
          </cell>
          <cell r="K241" t="str">
            <v>Makhdom pur</v>
          </cell>
          <cell r="L241" t="str">
            <v>PC-3 Multan</v>
          </cell>
          <cell r="M241">
            <v>44575</v>
          </cell>
          <cell r="N241" t="str">
            <v>PS Jahanian</v>
          </cell>
          <cell r="O241" t="str">
            <v>PS</v>
          </cell>
          <cell r="P241" t="str">
            <v>PS Khanewal Kohna</v>
          </cell>
          <cell r="Q241" t="str">
            <v>G. Duty</v>
          </cell>
          <cell r="R241">
            <v>45467</v>
          </cell>
        </row>
        <row r="242">
          <cell r="E242" t="str">
            <v>Manzor Hussain</v>
          </cell>
          <cell r="F242">
            <v>30782</v>
          </cell>
          <cell r="G242">
            <v>38912</v>
          </cell>
          <cell r="H242" t="str">
            <v>BA</v>
          </cell>
          <cell r="I242" t="str">
            <v>Khanewal</v>
          </cell>
          <cell r="J242" t="str">
            <v>Kabirwala</v>
          </cell>
          <cell r="K242" t="str">
            <v>Adda 12 Meel</v>
          </cell>
          <cell r="L242" t="str">
            <v>--</v>
          </cell>
          <cell r="M242">
            <v>38912</v>
          </cell>
          <cell r="N242" t="str">
            <v>PS Sadar Kabirwala</v>
          </cell>
          <cell r="O242" t="str">
            <v>PS</v>
          </cell>
          <cell r="P242" t="str">
            <v>PS Khanewal Kohna</v>
          </cell>
          <cell r="Q242" t="str">
            <v>G. Duty</v>
          </cell>
          <cell r="R242">
            <v>45540</v>
          </cell>
        </row>
        <row r="243">
          <cell r="E243" t="str">
            <v>Muhammad Ismaeel</v>
          </cell>
          <cell r="F243">
            <v>28235</v>
          </cell>
          <cell r="G243">
            <v>35607</v>
          </cell>
          <cell r="H243" t="str">
            <v>FA</v>
          </cell>
          <cell r="I243" t="str">
            <v>Khanewal</v>
          </cell>
          <cell r="J243" t="str">
            <v>Mian Channu</v>
          </cell>
          <cell r="K243" t="str">
            <v>Tulamba</v>
          </cell>
          <cell r="L243" t="str">
            <v>promoted as HC</v>
          </cell>
          <cell r="M243">
            <v>44866</v>
          </cell>
          <cell r="N243" t="str">
            <v>Guard Session House Khanewal</v>
          </cell>
          <cell r="O243" t="str">
            <v>PS</v>
          </cell>
          <cell r="P243" t="str">
            <v>PS Khanewal Kohna</v>
          </cell>
          <cell r="Q243" t="str">
            <v>G. Duty</v>
          </cell>
          <cell r="R243">
            <v>45558</v>
          </cell>
        </row>
        <row r="244">
          <cell r="E244" t="str">
            <v>Rao Bashir Ahmad</v>
          </cell>
          <cell r="F244">
            <v>32599</v>
          </cell>
          <cell r="G244">
            <v>40543</v>
          </cell>
          <cell r="H244" t="str">
            <v>BA</v>
          </cell>
          <cell r="I244" t="str">
            <v>Khanewal</v>
          </cell>
          <cell r="J244" t="str">
            <v>Khanewal</v>
          </cell>
          <cell r="K244" t="str">
            <v>Sadar Khanewal</v>
          </cell>
          <cell r="L244" t="str">
            <v>promoted as HC</v>
          </cell>
          <cell r="M244">
            <v>44866</v>
          </cell>
          <cell r="N244" t="str">
            <v>PS Sarai Sidhu</v>
          </cell>
          <cell r="O244" t="str">
            <v>PS</v>
          </cell>
          <cell r="P244" t="str">
            <v>PS Khanewal Kohna</v>
          </cell>
          <cell r="Q244" t="str">
            <v>G. Duty</v>
          </cell>
          <cell r="R244">
            <v>45560</v>
          </cell>
        </row>
        <row r="245">
          <cell r="E245" t="str">
            <v xml:space="preserve">Mumtaz Hussain </v>
          </cell>
          <cell r="F245">
            <v>33331</v>
          </cell>
          <cell r="G245">
            <v>42116</v>
          </cell>
          <cell r="H245" t="str">
            <v>MA</v>
          </cell>
          <cell r="I245" t="str">
            <v>Khanewal</v>
          </cell>
          <cell r="J245" t="str">
            <v>Khanewal</v>
          </cell>
          <cell r="K245" t="str">
            <v>Makhdom pur</v>
          </cell>
          <cell r="L245" t="str">
            <v>PC Farooqabad</v>
          </cell>
          <cell r="M245">
            <v>43241</v>
          </cell>
          <cell r="N245" t="str">
            <v>Police Line</v>
          </cell>
          <cell r="O245" t="str">
            <v>PS</v>
          </cell>
          <cell r="P245" t="str">
            <v>PS Khanewal Kohna</v>
          </cell>
          <cell r="Q245" t="str">
            <v>G. Duty</v>
          </cell>
          <cell r="R245">
            <v>45514</v>
          </cell>
        </row>
        <row r="246">
          <cell r="E246" t="str">
            <v xml:space="preserve">Bahadir Ali </v>
          </cell>
          <cell r="F246">
            <v>30414</v>
          </cell>
          <cell r="G246">
            <v>38875</v>
          </cell>
          <cell r="H246" t="str">
            <v>MA</v>
          </cell>
          <cell r="I246" t="str">
            <v>Khanewal</v>
          </cell>
          <cell r="J246" t="str">
            <v>Khanewal</v>
          </cell>
          <cell r="K246" t="str">
            <v>Sadar Khanewal</v>
          </cell>
          <cell r="L246" t="str">
            <v>Special branch</v>
          </cell>
          <cell r="M246">
            <v>44810</v>
          </cell>
          <cell r="N246" t="str">
            <v>Police Line</v>
          </cell>
          <cell r="O246" t="str">
            <v>PS</v>
          </cell>
          <cell r="P246" t="str">
            <v>PS Khanewal Kohna</v>
          </cell>
          <cell r="Q246" t="str">
            <v>Security Duty</v>
          </cell>
          <cell r="R246">
            <v>44854</v>
          </cell>
        </row>
        <row r="247">
          <cell r="E247" t="str">
            <v xml:space="preserve">Manzoor Ahmad </v>
          </cell>
          <cell r="F247">
            <v>25236</v>
          </cell>
          <cell r="G247">
            <v>33152</v>
          </cell>
          <cell r="H247" t="str">
            <v>Matric</v>
          </cell>
          <cell r="I247" t="str">
            <v>Khanewal</v>
          </cell>
          <cell r="J247" t="str">
            <v>Kabirwala</v>
          </cell>
          <cell r="K247" t="str">
            <v>Saddar Kabirwala</v>
          </cell>
          <cell r="L247" t="str">
            <v>Multan</v>
          </cell>
          <cell r="M247">
            <v>37600</v>
          </cell>
          <cell r="N247" t="str">
            <v>PS City Kabirwala</v>
          </cell>
          <cell r="O247" t="str">
            <v>PS</v>
          </cell>
          <cell r="P247" t="str">
            <v>PS Khanewal Kohna</v>
          </cell>
          <cell r="Q247" t="str">
            <v>G.Duty (Light Duty)</v>
          </cell>
          <cell r="R247">
            <v>44921</v>
          </cell>
        </row>
        <row r="248">
          <cell r="E248" t="str">
            <v>Sultan</v>
          </cell>
          <cell r="F248">
            <v>25903</v>
          </cell>
          <cell r="G248">
            <v>33148</v>
          </cell>
          <cell r="H248" t="str">
            <v>Matric</v>
          </cell>
          <cell r="I248" t="str">
            <v>Khanewal</v>
          </cell>
          <cell r="J248" t="str">
            <v>Khanewal</v>
          </cell>
          <cell r="K248" t="str">
            <v>Makhdoom pur</v>
          </cell>
          <cell r="L248">
            <v>0</v>
          </cell>
          <cell r="M248">
            <v>33148</v>
          </cell>
          <cell r="N248" t="str">
            <v>PS Thatha Sadiqabad</v>
          </cell>
          <cell r="O248" t="str">
            <v>PS</v>
          </cell>
          <cell r="P248" t="str">
            <v>PS Khanewal Kohna</v>
          </cell>
          <cell r="Q248" t="str">
            <v>G.Duty (Driver)</v>
          </cell>
          <cell r="R248">
            <v>45157</v>
          </cell>
        </row>
        <row r="249">
          <cell r="E249" t="str">
            <v>Bashir Ud Din</v>
          </cell>
          <cell r="F249">
            <v>27822</v>
          </cell>
          <cell r="G249">
            <v>36182</v>
          </cell>
          <cell r="H249" t="str">
            <v>Matric</v>
          </cell>
          <cell r="I249" t="str">
            <v>Rajan Pur</v>
          </cell>
          <cell r="J249" t="str">
            <v>Jam Pur</v>
          </cell>
          <cell r="K249" t="str">
            <v>City Jam Pur</v>
          </cell>
          <cell r="L249" t="str">
            <v>Rajan Pur</v>
          </cell>
          <cell r="M249">
            <v>44276</v>
          </cell>
          <cell r="N249" t="str">
            <v>Second Reserve Police Line</v>
          </cell>
          <cell r="O249" t="str">
            <v>PS</v>
          </cell>
          <cell r="P249" t="str">
            <v>PS Khanewal Kohna</v>
          </cell>
          <cell r="Q249" t="str">
            <v>G. Duty</v>
          </cell>
          <cell r="R249">
            <v>45197</v>
          </cell>
        </row>
        <row r="250">
          <cell r="E250" t="str">
            <v>Muhammad Bashir</v>
          </cell>
          <cell r="F250">
            <v>31512</v>
          </cell>
          <cell r="G250">
            <v>39447</v>
          </cell>
          <cell r="H250" t="str">
            <v>BA</v>
          </cell>
          <cell r="I250" t="str">
            <v>Khanewal</v>
          </cell>
          <cell r="J250" t="str">
            <v>Khanewal</v>
          </cell>
          <cell r="K250" t="str">
            <v>Makhdum pur</v>
          </cell>
          <cell r="L250">
            <v>0</v>
          </cell>
          <cell r="M250">
            <v>39447</v>
          </cell>
          <cell r="N250" t="str">
            <v>RHC Abdul Hakim</v>
          </cell>
          <cell r="O250" t="str">
            <v>PS</v>
          </cell>
          <cell r="P250" t="str">
            <v>PS Khanewal Kohna</v>
          </cell>
          <cell r="Q250" t="str">
            <v>CCTV Camera Operator</v>
          </cell>
          <cell r="R250">
            <v>45272</v>
          </cell>
        </row>
        <row r="251">
          <cell r="E251" t="str">
            <v>Qaisar Mehmood</v>
          </cell>
          <cell r="F251">
            <v>32964</v>
          </cell>
          <cell r="G251">
            <v>42116</v>
          </cell>
          <cell r="H251" t="str">
            <v>DAE Elect</v>
          </cell>
          <cell r="I251" t="str">
            <v>Khanewal</v>
          </cell>
          <cell r="J251" t="str">
            <v>Khanewal</v>
          </cell>
          <cell r="K251" t="str">
            <v>Makhdom pur</v>
          </cell>
          <cell r="L251" t="str">
            <v>PC-3</v>
          </cell>
          <cell r="M251">
            <v>43257</v>
          </cell>
          <cell r="N251" t="str">
            <v>SDPO office Kabirwala</v>
          </cell>
          <cell r="O251" t="str">
            <v>PS</v>
          </cell>
          <cell r="P251" t="str">
            <v>PS Khanewal Kohna</v>
          </cell>
          <cell r="Q251" t="str">
            <v>G. Duty</v>
          </cell>
          <cell r="R251">
            <v>45295</v>
          </cell>
        </row>
        <row r="252">
          <cell r="E252" t="str">
            <v>Muhammad Ilyas</v>
          </cell>
          <cell r="F252">
            <v>36514</v>
          </cell>
          <cell r="G252">
            <v>43806</v>
          </cell>
          <cell r="H252" t="str">
            <v>Matric</v>
          </cell>
          <cell r="I252" t="str">
            <v>Khanewal</v>
          </cell>
          <cell r="J252" t="str">
            <v>Kabirwala</v>
          </cell>
          <cell r="K252" t="str">
            <v>City Kabirwala</v>
          </cell>
          <cell r="L252" t="str">
            <v>PC-3 Multan</v>
          </cell>
          <cell r="M252">
            <v>45290</v>
          </cell>
          <cell r="N252" t="str">
            <v>Police Line</v>
          </cell>
          <cell r="O252" t="str">
            <v>PS</v>
          </cell>
          <cell r="P252" t="str">
            <v>PS Khanewal Kohna</v>
          </cell>
          <cell r="Q252" t="str">
            <v>G. Duty</v>
          </cell>
          <cell r="R252">
            <v>45307</v>
          </cell>
        </row>
        <row r="253">
          <cell r="E253" t="str">
            <v xml:space="preserve">Riaz Ahmad </v>
          </cell>
          <cell r="F253">
            <v>32906</v>
          </cell>
          <cell r="G253">
            <v>40543</v>
          </cell>
          <cell r="H253" t="str">
            <v>Matric</v>
          </cell>
          <cell r="I253" t="str">
            <v>Khanewal</v>
          </cell>
          <cell r="J253" t="str">
            <v>Mian Channu</v>
          </cell>
          <cell r="K253" t="str">
            <v>Tulamba</v>
          </cell>
          <cell r="L253" t="str">
            <v>--</v>
          </cell>
          <cell r="M253">
            <v>40543</v>
          </cell>
          <cell r="N253" t="str">
            <v>PS Chab Kalan</v>
          </cell>
          <cell r="O253" t="str">
            <v>PS</v>
          </cell>
          <cell r="P253" t="str">
            <v>PS Khanewal Kohna</v>
          </cell>
          <cell r="Q253" t="str">
            <v>G. Duty</v>
          </cell>
          <cell r="R253">
            <v>45454</v>
          </cell>
        </row>
        <row r="254">
          <cell r="E254" t="str">
            <v>Muhammad Bota</v>
          </cell>
          <cell r="F254">
            <v>26401</v>
          </cell>
          <cell r="G254">
            <v>33156</v>
          </cell>
          <cell r="H254" t="str">
            <v>Matric</v>
          </cell>
          <cell r="I254" t="str">
            <v>Khanewal</v>
          </cell>
          <cell r="J254" t="str">
            <v>Jahanian</v>
          </cell>
          <cell r="K254" t="str">
            <v>Thattha Saidq Abad</v>
          </cell>
          <cell r="L254" t="str">
            <v>Reinstated in Service</v>
          </cell>
          <cell r="M254">
            <v>44645</v>
          </cell>
          <cell r="N254" t="str">
            <v>PS Jahanian</v>
          </cell>
          <cell r="O254" t="str">
            <v>PS</v>
          </cell>
          <cell r="P254" t="str">
            <v>PS Kohna Khanewal</v>
          </cell>
          <cell r="Q254" t="str">
            <v>G. Duty</v>
          </cell>
          <cell r="R254">
            <v>45454</v>
          </cell>
        </row>
        <row r="255">
          <cell r="E255" t="str">
            <v>Liaqat Ali</v>
          </cell>
          <cell r="F255">
            <v>36048</v>
          </cell>
          <cell r="G255">
            <v>43806</v>
          </cell>
          <cell r="H255" t="str">
            <v>F.A</v>
          </cell>
          <cell r="I255" t="str">
            <v>Khanewal</v>
          </cell>
          <cell r="J255" t="str">
            <v>Jahanian</v>
          </cell>
          <cell r="K255" t="str">
            <v>Jahanian</v>
          </cell>
          <cell r="L255" t="str">
            <v>Punjab Constabulary</v>
          </cell>
          <cell r="M255">
            <v>45356</v>
          </cell>
          <cell r="N255" t="str">
            <v>Police Line</v>
          </cell>
          <cell r="O255" t="str">
            <v>PS</v>
          </cell>
          <cell r="P255" t="str">
            <v>PS kohna Khanewal</v>
          </cell>
          <cell r="Q255" t="str">
            <v>G. Duty</v>
          </cell>
          <cell r="R255">
            <v>45454</v>
          </cell>
        </row>
        <row r="256">
          <cell r="E256" t="str">
            <v>Nazir Ahmad</v>
          </cell>
          <cell r="F256">
            <v>32309</v>
          </cell>
          <cell r="G256">
            <v>39457</v>
          </cell>
          <cell r="H256" t="str">
            <v>Matric</v>
          </cell>
          <cell r="I256" t="str">
            <v>Sahiwal</v>
          </cell>
          <cell r="J256" t="str">
            <v>Chicha watni</v>
          </cell>
          <cell r="K256" t="str">
            <v>Ghazi Abad</v>
          </cell>
          <cell r="L256">
            <v>0</v>
          </cell>
          <cell r="M256">
            <v>39457</v>
          </cell>
          <cell r="N256" t="str">
            <v>PS City Mian Channu</v>
          </cell>
          <cell r="O256" t="str">
            <v>PS</v>
          </cell>
          <cell r="P256" t="str">
            <v>PS Kohna Khanewal</v>
          </cell>
          <cell r="Q256" t="str">
            <v>G. Duty</v>
          </cell>
          <cell r="R256">
            <v>45454</v>
          </cell>
        </row>
        <row r="257">
          <cell r="E257" t="str">
            <v>Muhammad Boota</v>
          </cell>
          <cell r="F257">
            <v>36625</v>
          </cell>
          <cell r="G257">
            <v>43806</v>
          </cell>
          <cell r="H257" t="str">
            <v>Matric</v>
          </cell>
          <cell r="I257" t="str">
            <v>Khanewal</v>
          </cell>
          <cell r="J257" t="str">
            <v>Mian Channu</v>
          </cell>
          <cell r="K257" t="str">
            <v>City Mian Channu</v>
          </cell>
          <cell r="L257" t="str">
            <v>Newly recruited</v>
          </cell>
          <cell r="M257">
            <v>43806</v>
          </cell>
          <cell r="N257" t="str">
            <v>Judicial Duty Police Line</v>
          </cell>
          <cell r="O257" t="str">
            <v>PS</v>
          </cell>
          <cell r="P257" t="str">
            <v>PS kohna Khanewal</v>
          </cell>
          <cell r="Q257" t="str">
            <v>G. Duty</v>
          </cell>
          <cell r="R257">
            <v>45454</v>
          </cell>
        </row>
        <row r="258">
          <cell r="E258" t="str">
            <v xml:space="preserve">Mumtaz Hussain </v>
          </cell>
          <cell r="F258">
            <v>33695</v>
          </cell>
          <cell r="G258">
            <v>42583</v>
          </cell>
          <cell r="H258" t="str">
            <v>BA</v>
          </cell>
          <cell r="I258" t="str">
            <v>Khanewal</v>
          </cell>
          <cell r="J258" t="str">
            <v>Kabirwala</v>
          </cell>
          <cell r="K258" t="str">
            <v>Sarai Sidhu</v>
          </cell>
          <cell r="L258" t="str">
            <v>PC</v>
          </cell>
          <cell r="M258">
            <v>43768</v>
          </cell>
          <cell r="N258" t="str">
            <v>Police Line</v>
          </cell>
          <cell r="O258" t="str">
            <v>PS</v>
          </cell>
          <cell r="P258" t="str">
            <v>PS Khanewal Kohna</v>
          </cell>
          <cell r="Q258" t="str">
            <v>G. Duty</v>
          </cell>
          <cell r="R258">
            <v>45493</v>
          </cell>
        </row>
        <row r="259">
          <cell r="E259" t="str">
            <v>Sabir Hussain</v>
          </cell>
          <cell r="F259">
            <v>29874</v>
          </cell>
          <cell r="G259">
            <v>38311</v>
          </cell>
          <cell r="H259" t="str">
            <v>FA</v>
          </cell>
          <cell r="I259" t="str">
            <v>Khanewal</v>
          </cell>
          <cell r="J259" t="str">
            <v>Khanewal</v>
          </cell>
          <cell r="K259" t="str">
            <v>Makhdompur</v>
          </cell>
          <cell r="L259">
            <v>0</v>
          </cell>
          <cell r="M259">
            <v>38315</v>
          </cell>
          <cell r="N259" t="str">
            <v>PS Abdul Hakim</v>
          </cell>
          <cell r="O259" t="str">
            <v>PS</v>
          </cell>
          <cell r="P259" t="str">
            <v>PS Kohna Khanewal</v>
          </cell>
          <cell r="Q259" t="str">
            <v>G. Duty</v>
          </cell>
          <cell r="R259">
            <v>45454</v>
          </cell>
        </row>
        <row r="260">
          <cell r="E260" t="str">
            <v>Muhammad Ashraf</v>
          </cell>
          <cell r="F260">
            <v>32766</v>
          </cell>
          <cell r="G260">
            <v>41648</v>
          </cell>
          <cell r="H260" t="str">
            <v>Matric</v>
          </cell>
          <cell r="I260" t="str">
            <v>Khanewal</v>
          </cell>
          <cell r="J260" t="str">
            <v>Mianchanu</v>
          </cell>
          <cell r="K260" t="str">
            <v>Sadar Mianchanu</v>
          </cell>
          <cell r="L260" t="str">
            <v>PC-3 Multan</v>
          </cell>
          <cell r="M260">
            <v>45290</v>
          </cell>
          <cell r="N260" t="str">
            <v>CIA Staff Khanewal</v>
          </cell>
          <cell r="O260" t="str">
            <v>PS</v>
          </cell>
          <cell r="P260" t="str">
            <v>PS Khanewal Kohna</v>
          </cell>
          <cell r="Q260" t="str">
            <v>G. Duty</v>
          </cell>
          <cell r="R260">
            <v>45508</v>
          </cell>
        </row>
        <row r="261">
          <cell r="E261" t="str">
            <v>Rehmat ullah</v>
          </cell>
          <cell r="F261">
            <v>34440</v>
          </cell>
          <cell r="G261">
            <v>42116</v>
          </cell>
          <cell r="H261" t="str">
            <v>Metric</v>
          </cell>
          <cell r="I261" t="str">
            <v>Khanewal</v>
          </cell>
          <cell r="J261" t="str">
            <v>Khanewal</v>
          </cell>
          <cell r="K261" t="str">
            <v>City Khanewal</v>
          </cell>
          <cell r="L261" t="str">
            <v>PC-3</v>
          </cell>
          <cell r="M261">
            <v>43256</v>
          </cell>
          <cell r="N261" t="str">
            <v>Escort DPO Khanewal</v>
          </cell>
          <cell r="O261" t="str">
            <v>PS</v>
          </cell>
          <cell r="P261" t="str">
            <v>PS kohna Khanewal</v>
          </cell>
          <cell r="Q261" t="str">
            <v>G. Duty</v>
          </cell>
          <cell r="R261">
            <v>45514</v>
          </cell>
        </row>
        <row r="262">
          <cell r="E262" t="str">
            <v>Saeed Pervaiz Khan</v>
          </cell>
          <cell r="F262">
            <v>36262</v>
          </cell>
          <cell r="G262">
            <v>43677</v>
          </cell>
          <cell r="H262" t="str">
            <v>Matric</v>
          </cell>
          <cell r="I262" t="str">
            <v>Khanewal</v>
          </cell>
          <cell r="J262" t="str">
            <v>Khanewal</v>
          </cell>
          <cell r="K262" t="str">
            <v>Makhdoom pur</v>
          </cell>
          <cell r="L262" t="str">
            <v>PC</v>
          </cell>
          <cell r="M262">
            <v>45075</v>
          </cell>
          <cell r="N262" t="str">
            <v>First Reserve Police Line</v>
          </cell>
          <cell r="O262" t="str">
            <v>PS</v>
          </cell>
          <cell r="P262" t="str">
            <v>PS Khanewal Kohna</v>
          </cell>
          <cell r="Q262" t="str">
            <v>G. Duty</v>
          </cell>
          <cell r="R262">
            <v>45514</v>
          </cell>
        </row>
        <row r="263">
          <cell r="E263" t="str">
            <v>Muhammad Akram</v>
          </cell>
          <cell r="F263">
            <v>32334</v>
          </cell>
          <cell r="G263">
            <v>40543</v>
          </cell>
          <cell r="H263" t="str">
            <v>FA</v>
          </cell>
          <cell r="I263" t="str">
            <v>Khanewal</v>
          </cell>
          <cell r="J263" t="str">
            <v>Mian Channu</v>
          </cell>
          <cell r="K263" t="str">
            <v>Chab Kalan</v>
          </cell>
          <cell r="L263" t="str">
            <v>--</v>
          </cell>
          <cell r="M263">
            <v>40543</v>
          </cell>
          <cell r="N263" t="str">
            <v>Lower Class Course</v>
          </cell>
          <cell r="O263" t="str">
            <v>PS</v>
          </cell>
          <cell r="P263" t="str">
            <v>PS Khanewal Kohna</v>
          </cell>
          <cell r="Q263" t="str">
            <v>G. Duty</v>
          </cell>
          <cell r="R263">
            <v>45530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C"/>
      <sheetName val="HC (2)"/>
      <sheetName val="seniority lists "/>
      <sheetName val="seniority lists  (2)"/>
      <sheetName val="Range Reserve"/>
      <sheetName val="Range Reserve (2)"/>
    </sheetNames>
    <sheetDataSet>
      <sheetData sheetId="0" refreshError="1">
        <row r="5">
          <cell r="D5">
            <v>694</v>
          </cell>
          <cell r="E5" t="str">
            <v>Muhammad Sharif</v>
          </cell>
          <cell r="F5">
            <v>27851</v>
          </cell>
          <cell r="G5">
            <v>35486</v>
          </cell>
          <cell r="H5" t="str">
            <v>Matric</v>
          </cell>
          <cell r="I5" t="str">
            <v>Khanewal</v>
          </cell>
          <cell r="J5" t="str">
            <v>Mian Channu</v>
          </cell>
          <cell r="K5" t="str">
            <v>Chab kalan</v>
          </cell>
          <cell r="L5" t="str">
            <v>promoted as HC</v>
          </cell>
          <cell r="M5">
            <v>44866</v>
          </cell>
          <cell r="N5" t="str">
            <v>Guard NBP Mian Channu</v>
          </cell>
          <cell r="O5" t="str">
            <v>Police Line</v>
          </cell>
          <cell r="P5" t="str">
            <v>Police Line</v>
          </cell>
          <cell r="Q5" t="str">
            <v>Leave 03 Month till 31.11.23</v>
          </cell>
          <cell r="R5">
            <v>45181</v>
          </cell>
          <cell r="S5" t="str">
            <v>0300-8395756</v>
          </cell>
          <cell r="T5" t="str">
            <v>Chak No.9-14-L, Tehsil Chichawatni, District Sahiwal</v>
          </cell>
          <cell r="U5" t="str">
            <v>Chak No.109-15-L, Tehsil Mian channu</v>
          </cell>
          <cell r="V5" t="str">
            <v>NIL</v>
          </cell>
        </row>
        <row r="6">
          <cell r="D6">
            <v>1425</v>
          </cell>
          <cell r="E6" t="str">
            <v>Muhammad Ismaeel</v>
          </cell>
          <cell r="F6">
            <v>28235</v>
          </cell>
          <cell r="G6">
            <v>35607</v>
          </cell>
          <cell r="H6" t="str">
            <v>FA</v>
          </cell>
          <cell r="I6" t="str">
            <v>Khanewal</v>
          </cell>
          <cell r="J6" t="str">
            <v>Mian Channu</v>
          </cell>
          <cell r="K6" t="str">
            <v>Tulamba</v>
          </cell>
          <cell r="L6" t="str">
            <v>promoted as HC</v>
          </cell>
          <cell r="M6">
            <v>44866</v>
          </cell>
          <cell r="N6" t="str">
            <v>PS City Mian Channu</v>
          </cell>
          <cell r="O6" t="str">
            <v>PS</v>
          </cell>
          <cell r="P6" t="str">
            <v>PS Chab Kalan</v>
          </cell>
          <cell r="Q6" t="str">
            <v>G.Duty</v>
          </cell>
          <cell r="R6">
            <v>45082</v>
          </cell>
          <cell r="S6" t="str">
            <v>0346-72529020300-6338747</v>
          </cell>
          <cell r="T6" t="str">
            <v>Chak No.7-8-AR PS Tulamba tehsil Mian Channu distt Khanewal</v>
          </cell>
          <cell r="U6" t="str">
            <v>Chak No.7-8-AR PS Tulamba tehsil Mian Channu distt Khanewal</v>
          </cell>
          <cell r="V6" t="str">
            <v>NIL</v>
          </cell>
        </row>
        <row r="7">
          <cell r="D7">
            <v>103</v>
          </cell>
          <cell r="E7" t="str">
            <v>Ghulam  Shabbir</v>
          </cell>
          <cell r="F7">
            <v>27575</v>
          </cell>
          <cell r="G7">
            <v>36267</v>
          </cell>
          <cell r="H7" t="str">
            <v xml:space="preserve">F.A </v>
          </cell>
          <cell r="I7" t="str">
            <v>Khanewal</v>
          </cell>
          <cell r="J7" t="str">
            <v>Kabirwala</v>
          </cell>
          <cell r="K7" t="str">
            <v>city kabirwala</v>
          </cell>
          <cell r="L7" t="str">
            <v>promoted as HC</v>
          </cell>
          <cell r="M7">
            <v>44866</v>
          </cell>
          <cell r="N7" t="str">
            <v>PS Sadar Kabirwala</v>
          </cell>
          <cell r="O7" t="str">
            <v>Police Line</v>
          </cell>
          <cell r="P7" t="str">
            <v>Falcon Force Police Line</v>
          </cell>
          <cell r="Q7" t="str">
            <v>Falcon Duty</v>
          </cell>
          <cell r="R7">
            <v>45171</v>
          </cell>
          <cell r="S7" t="str">
            <v>0306-7978246</v>
          </cell>
          <cell r="T7" t="str">
            <v>House No. 256 St. No. 15, Muhallah Islamabad, Tehsil Kabirwala, Khanewal</v>
          </cell>
          <cell r="U7" t="str">
            <v>House No. 256 St. No. 15, Muhallah Islamabad, Tehsil Kabirwala, Khanewal</v>
          </cell>
          <cell r="V7" t="str">
            <v>NIL</v>
          </cell>
        </row>
        <row r="8">
          <cell r="D8">
            <v>1261</v>
          </cell>
          <cell r="E8" t="str">
            <v>Muhammad Ameer</v>
          </cell>
          <cell r="F8">
            <v>28158</v>
          </cell>
          <cell r="G8">
            <v>36883</v>
          </cell>
          <cell r="H8" t="str">
            <v>Matric</v>
          </cell>
          <cell r="I8" t="str">
            <v>Khanewal</v>
          </cell>
          <cell r="J8" t="str">
            <v>Khanewal</v>
          </cell>
          <cell r="K8" t="str">
            <v>Khanewal Kohna</v>
          </cell>
          <cell r="L8" t="str">
            <v>promoted as HC</v>
          </cell>
          <cell r="M8">
            <v>44805</v>
          </cell>
          <cell r="N8" t="str">
            <v>CIA Staff Khanewal</v>
          </cell>
          <cell r="O8" t="str">
            <v>PS</v>
          </cell>
          <cell r="P8" t="str">
            <v>PS Sadar Khanewal</v>
          </cell>
          <cell r="Q8" t="str">
            <v>Addl: Moharir</v>
          </cell>
          <cell r="R8">
            <v>44989</v>
          </cell>
          <cell r="S8" t="str">
            <v>0305-6421373</v>
          </cell>
          <cell r="T8" t="str">
            <v>Basti Fareed Abad Khanewal</v>
          </cell>
          <cell r="U8" t="str">
            <v>Basti Fareed Abad Khanewal</v>
          </cell>
          <cell r="V8" t="str">
            <v>NIL</v>
          </cell>
        </row>
        <row r="9">
          <cell r="D9">
            <v>1287</v>
          </cell>
          <cell r="E9" t="str">
            <v>Muhammad Hussain</v>
          </cell>
          <cell r="F9">
            <v>29293</v>
          </cell>
          <cell r="G9">
            <v>37480</v>
          </cell>
          <cell r="H9" t="str">
            <v>FA</v>
          </cell>
          <cell r="I9" t="str">
            <v>Khanewal</v>
          </cell>
          <cell r="J9" t="str">
            <v>Khanewal</v>
          </cell>
          <cell r="K9" t="str">
            <v>Sadar Khanewal</v>
          </cell>
          <cell r="L9" t="str">
            <v>promoted as HC</v>
          </cell>
          <cell r="M9">
            <v>45009</v>
          </cell>
          <cell r="N9" t="str">
            <v>Rescue 15 Khanewal</v>
          </cell>
          <cell r="O9" t="str">
            <v>Khidmat Center</v>
          </cell>
          <cell r="P9" t="str">
            <v>Khidmat Markaz Khanewal</v>
          </cell>
          <cell r="Q9" t="str">
            <v>Incharge</v>
          </cell>
          <cell r="R9">
            <v>45055</v>
          </cell>
          <cell r="S9" t="str">
            <v>0300-4394588</v>
          </cell>
          <cell r="T9" t="str">
            <v>Chak No.88-10-R P-O Khanewal Tehsil &amp; Distt Khanewal</v>
          </cell>
          <cell r="U9" t="str">
            <v>Chak No.88-10-R P-O Khanewal Tehsil &amp; Distt Khanewal</v>
          </cell>
          <cell r="V9" t="str">
            <v>NIL</v>
          </cell>
        </row>
        <row r="10">
          <cell r="D10">
            <v>781</v>
          </cell>
          <cell r="E10" t="str">
            <v>Muhammad Inayat</v>
          </cell>
          <cell r="F10">
            <v>29992</v>
          </cell>
          <cell r="G10">
            <v>37510</v>
          </cell>
          <cell r="H10" t="str">
            <v>FA</v>
          </cell>
          <cell r="I10" t="str">
            <v>Khanewal</v>
          </cell>
          <cell r="J10" t="str">
            <v>jahanian</v>
          </cell>
          <cell r="K10" t="str">
            <v>Thatha Sadiq Abad</v>
          </cell>
          <cell r="L10" t="str">
            <v>promoted as HC</v>
          </cell>
          <cell r="M10">
            <v>44338</v>
          </cell>
          <cell r="N10" t="str">
            <v>Guard Judges Colony Jahanian</v>
          </cell>
          <cell r="O10" t="str">
            <v>PS</v>
          </cell>
          <cell r="P10" t="str">
            <v>PS Jahanian</v>
          </cell>
          <cell r="Q10" t="str">
            <v>G.Duty</v>
          </cell>
          <cell r="R10">
            <v>44916</v>
          </cell>
          <cell r="S10" t="str">
            <v>0345-7095138</v>
          </cell>
          <cell r="T10" t="str">
            <v>Chak No. 139-10-R Qadeem P-o Khas Tehsil Jahanian  Jahanian</v>
          </cell>
          <cell r="U10" t="str">
            <v>Chak No. 139-10-R Qadeem P-o Khas Tehsil Jahanian</v>
          </cell>
          <cell r="V10" t="str">
            <v>NIL</v>
          </cell>
        </row>
        <row r="11">
          <cell r="D11">
            <v>1286</v>
          </cell>
          <cell r="E11" t="str">
            <v xml:space="preserve">Saeed Ahmad </v>
          </cell>
          <cell r="F11">
            <v>28768</v>
          </cell>
          <cell r="G11">
            <v>37512</v>
          </cell>
          <cell r="H11" t="str">
            <v>FA</v>
          </cell>
          <cell r="I11" t="str">
            <v>Khanewal</v>
          </cell>
          <cell r="J11" t="str">
            <v>Khanewal</v>
          </cell>
          <cell r="K11" t="str">
            <v>Khanewal Kohna</v>
          </cell>
          <cell r="L11" t="str">
            <v>Elite Force</v>
          </cell>
          <cell r="M11">
            <v>43990</v>
          </cell>
          <cell r="N11" t="str">
            <v>Police Line</v>
          </cell>
          <cell r="O11" t="str">
            <v>Police Line</v>
          </cell>
          <cell r="P11" t="str">
            <v>Falcon Force Police Line</v>
          </cell>
          <cell r="Q11" t="str">
            <v>Falcon Duty</v>
          </cell>
          <cell r="R11">
            <v>45147</v>
          </cell>
          <cell r="S11" t="str">
            <v>0300-6893851</v>
          </cell>
          <cell r="T11" t="str">
            <v>Chak No 17-AH Po khas   Khanewal</v>
          </cell>
          <cell r="U11" t="str">
            <v>Chak No 17-AH Po khas   Khanewal</v>
          </cell>
          <cell r="V11" t="str">
            <v>NIL</v>
          </cell>
        </row>
        <row r="12">
          <cell r="D12">
            <v>728</v>
          </cell>
          <cell r="E12" t="str">
            <v xml:space="preserve">Asmat Ullah </v>
          </cell>
          <cell r="F12">
            <v>29356</v>
          </cell>
          <cell r="G12">
            <v>37599</v>
          </cell>
          <cell r="H12" t="str">
            <v>FA</v>
          </cell>
          <cell r="I12" t="str">
            <v>Khanewal</v>
          </cell>
          <cell r="J12" t="str">
            <v>Mian Channu</v>
          </cell>
          <cell r="K12" t="str">
            <v>City Mian Channu</v>
          </cell>
          <cell r="L12" t="str">
            <v>PC Farooqabad</v>
          </cell>
          <cell r="M12">
            <v>39172</v>
          </cell>
          <cell r="N12" t="str">
            <v>PS Sadar Khanewal</v>
          </cell>
          <cell r="O12" t="str">
            <v>Guard</v>
          </cell>
          <cell r="P12" t="str">
            <v>Guard Election Comission Khanewal</v>
          </cell>
          <cell r="Q12" t="str">
            <v>Incharge</v>
          </cell>
          <cell r="R12">
            <v>45166</v>
          </cell>
          <cell r="S12" t="str">
            <v>0300-6896602</v>
          </cell>
          <cell r="T12" t="str">
            <v>House No-132 Street No-2 Muhalla Hussain Abad Tehsil Mian Chanu</v>
          </cell>
          <cell r="U12" t="str">
            <v>House No-132 Street No-2 Muhalla Hussain Abad Tehsil Mian Chanu</v>
          </cell>
          <cell r="V12" t="str">
            <v>NIL</v>
          </cell>
        </row>
        <row r="13">
          <cell r="D13">
            <v>344</v>
          </cell>
          <cell r="E13" t="str">
            <v>Muhammad Yousaf Shah</v>
          </cell>
          <cell r="F13">
            <v>28550</v>
          </cell>
          <cell r="G13">
            <v>37680</v>
          </cell>
          <cell r="H13" t="str">
            <v>BA</v>
          </cell>
          <cell r="I13" t="str">
            <v>Sialkot</v>
          </cell>
          <cell r="J13" t="str">
            <v>Sialkot</v>
          </cell>
          <cell r="K13" t="str">
            <v>Saddar Daska</v>
          </cell>
          <cell r="L13" t="str">
            <v>promoted as HC</v>
          </cell>
          <cell r="M13">
            <v>44866</v>
          </cell>
          <cell r="N13" t="str">
            <v>Guard Khazana Khanewal</v>
          </cell>
          <cell r="O13" t="str">
            <v>Guard</v>
          </cell>
          <cell r="P13" t="str">
            <v>Guard DPO Office Khanewal</v>
          </cell>
          <cell r="Q13" t="str">
            <v>Second Incharge</v>
          </cell>
          <cell r="R13">
            <v>44944</v>
          </cell>
          <cell r="S13" t="str">
            <v>0300-8393183</v>
          </cell>
          <cell r="T13" t="str">
            <v>House No. 159 Nazd PS City Khanewal</v>
          </cell>
          <cell r="U13" t="str">
            <v>Chak Kamal Pur Chishtian Tehsil Pasurar Distt Sialkot</v>
          </cell>
          <cell r="V13" t="str">
            <v>NIL</v>
          </cell>
        </row>
        <row r="14">
          <cell r="D14">
            <v>652</v>
          </cell>
          <cell r="E14" t="str">
            <v>Ashiq Ali</v>
          </cell>
          <cell r="F14">
            <v>31079</v>
          </cell>
          <cell r="G14">
            <v>38315</v>
          </cell>
          <cell r="H14" t="str">
            <v>BA</v>
          </cell>
          <cell r="I14" t="str">
            <v>Khanewal</v>
          </cell>
          <cell r="J14" t="str">
            <v>Kabirwala</v>
          </cell>
          <cell r="K14" t="str">
            <v>Sadar Kabirwala</v>
          </cell>
          <cell r="L14">
            <v>0</v>
          </cell>
          <cell r="M14">
            <v>38315</v>
          </cell>
          <cell r="N14" t="str">
            <v>DIB Branch</v>
          </cell>
          <cell r="O14" t="str">
            <v>PS</v>
          </cell>
          <cell r="P14" t="str">
            <v>PS Khanewal Kohna</v>
          </cell>
          <cell r="Q14" t="str">
            <v>Moharir</v>
          </cell>
          <cell r="R14">
            <v>45076</v>
          </cell>
          <cell r="S14" t="str">
            <v>0300-6887387</v>
          </cell>
          <cell r="T14" t="str">
            <v xml:space="preserve"> Pull Rango Mouza Kohiwala Tehsil Kabirwala Dist Khanewal</v>
          </cell>
          <cell r="U14" t="str">
            <v xml:space="preserve"> Pull Rango Mouza Kohiwala Tehsil Kabirwala Dist Khanewal</v>
          </cell>
          <cell r="V14" t="str">
            <v>NIL</v>
          </cell>
        </row>
        <row r="15">
          <cell r="D15">
            <v>1183</v>
          </cell>
          <cell r="E15" t="str">
            <v xml:space="preserve">Muhammad Ramzan </v>
          </cell>
          <cell r="F15">
            <v>31404</v>
          </cell>
          <cell r="G15">
            <v>38512</v>
          </cell>
          <cell r="H15" t="str">
            <v>FA</v>
          </cell>
          <cell r="I15" t="str">
            <v>Khanewal</v>
          </cell>
          <cell r="J15" t="str">
            <v>jahanian</v>
          </cell>
          <cell r="K15" t="str">
            <v>Thattha Sadiq Abad</v>
          </cell>
          <cell r="L15" t="str">
            <v>promoted as HC</v>
          </cell>
          <cell r="M15">
            <v>45057</v>
          </cell>
          <cell r="N15" t="str">
            <v>Guard Kachehry Jahanian</v>
          </cell>
          <cell r="O15" t="str">
            <v>Malkhana</v>
          </cell>
          <cell r="P15" t="str">
            <v>Malkhana Jahanian</v>
          </cell>
          <cell r="Q15" t="str">
            <v>N/Moharir</v>
          </cell>
          <cell r="R15">
            <v>45023</v>
          </cell>
          <cell r="S15" t="str">
            <v>0308-6068991</v>
          </cell>
          <cell r="T15" t="str">
            <v>Chak No. 118-10-R Jahanian</v>
          </cell>
          <cell r="U15" t="str">
            <v>Chak No. 118-10-R Jahanian</v>
          </cell>
          <cell r="V15" t="str">
            <v>NIL</v>
          </cell>
        </row>
        <row r="16">
          <cell r="D16">
            <v>457</v>
          </cell>
          <cell r="E16" t="str">
            <v>Muhammad Aslam</v>
          </cell>
          <cell r="F16">
            <v>31003</v>
          </cell>
          <cell r="G16">
            <v>38579</v>
          </cell>
          <cell r="H16" t="str">
            <v>FA</v>
          </cell>
          <cell r="I16" t="str">
            <v>Khanewal</v>
          </cell>
          <cell r="J16" t="str">
            <v>Mian Channu</v>
          </cell>
          <cell r="K16" t="str">
            <v>Sadar Mian Channu</v>
          </cell>
          <cell r="L16" t="str">
            <v>PC-3 Multan</v>
          </cell>
          <cell r="M16">
            <v>44575</v>
          </cell>
          <cell r="N16" t="str">
            <v>PS Sadar Khanewal</v>
          </cell>
          <cell r="O16" t="str">
            <v>PS</v>
          </cell>
          <cell r="P16" t="str">
            <v>PS Tulamba</v>
          </cell>
          <cell r="Q16" t="str">
            <v>G.Duty</v>
          </cell>
          <cell r="R16">
            <v>45091</v>
          </cell>
          <cell r="S16" t="str">
            <v>0306-6284780</v>
          </cell>
          <cell r="T16" t="str">
            <v>Chak No 46-15-L Tehsil  Mian Channu, District Khanewal</v>
          </cell>
          <cell r="U16" t="str">
            <v>Chak No 46-15-L Tehsil  Mian Channu, District Khanewal</v>
          </cell>
          <cell r="V16" t="str">
            <v>NIL</v>
          </cell>
        </row>
        <row r="17">
          <cell r="D17">
            <v>285</v>
          </cell>
          <cell r="E17" t="str">
            <v>Muhammad Iqbal</v>
          </cell>
          <cell r="F17">
            <v>30778</v>
          </cell>
          <cell r="G17">
            <v>38875</v>
          </cell>
          <cell r="H17" t="str">
            <v>D.com</v>
          </cell>
          <cell r="I17" t="str">
            <v>Khanewal</v>
          </cell>
          <cell r="J17" t="str">
            <v>Mian Channu</v>
          </cell>
          <cell r="K17" t="str">
            <v>City Mian Channu</v>
          </cell>
          <cell r="L17" t="str">
            <v>Traffic Kwl</v>
          </cell>
          <cell r="M17">
            <v>43753</v>
          </cell>
          <cell r="N17" t="str">
            <v>PS Sadar Mian Channu</v>
          </cell>
          <cell r="O17" t="str">
            <v>PS</v>
          </cell>
          <cell r="P17" t="str">
            <v>PS Kacha Khuh</v>
          </cell>
          <cell r="Q17" t="str">
            <v>Moharir</v>
          </cell>
          <cell r="R17">
            <v>45036</v>
          </cell>
          <cell r="S17" t="str">
            <v>0300-9697922</v>
          </cell>
          <cell r="T17" t="str">
            <v>KOTHI NANND SINGH, FAISAL COLONY, MIAN CHANNU</v>
          </cell>
          <cell r="U17" t="str">
            <v>KOTHI NANND SINGH, FAISAL COLONY, MIAN CHANNU</v>
          </cell>
          <cell r="V17" t="str">
            <v>NiL</v>
          </cell>
        </row>
        <row r="18">
          <cell r="D18">
            <v>500</v>
          </cell>
          <cell r="E18" t="str">
            <v>Muhammad Afzal</v>
          </cell>
          <cell r="F18">
            <v>30926</v>
          </cell>
          <cell r="G18">
            <v>38875</v>
          </cell>
          <cell r="H18" t="str">
            <v>BA</v>
          </cell>
          <cell r="I18" t="str">
            <v>Khanewal</v>
          </cell>
          <cell r="J18" t="str">
            <v>Khanewal</v>
          </cell>
          <cell r="K18" t="str">
            <v>Makhdompur</v>
          </cell>
          <cell r="L18" t="str">
            <v>Special Branch</v>
          </cell>
          <cell r="M18">
            <v>45111</v>
          </cell>
          <cell r="N18" t="str">
            <v>Police Line</v>
          </cell>
          <cell r="O18" t="str">
            <v>DPO Office</v>
          </cell>
          <cell r="P18" t="str">
            <v>DIB Branch</v>
          </cell>
          <cell r="Q18" t="str">
            <v>Moharir</v>
          </cell>
          <cell r="R18">
            <v>45122</v>
          </cell>
          <cell r="S18" t="str">
            <v>0345-7388815</v>
          </cell>
          <cell r="T18" t="str">
            <v>P-O Chak No.12-AH Chak No.10-AH Tehsil Khanewal</v>
          </cell>
          <cell r="U18" t="str">
            <v>P-O Chak No.12-AH Chak No.10-AH Tehsil Khanewal</v>
          </cell>
          <cell r="V18" t="str">
            <v>NIL</v>
          </cell>
        </row>
        <row r="19">
          <cell r="D19">
            <v>1230</v>
          </cell>
          <cell r="E19" t="str">
            <v xml:space="preserve">Muhammad Rafiq </v>
          </cell>
          <cell r="F19">
            <v>32157</v>
          </cell>
          <cell r="G19">
            <v>38875</v>
          </cell>
          <cell r="H19" t="str">
            <v>FA</v>
          </cell>
          <cell r="I19" t="str">
            <v>Khanewal</v>
          </cell>
          <cell r="J19" t="str">
            <v>Mianchanu</v>
          </cell>
          <cell r="K19" t="str">
            <v>Sadar Mianchanu</v>
          </cell>
          <cell r="L19" t="str">
            <v>--</v>
          </cell>
          <cell r="M19">
            <v>38905</v>
          </cell>
          <cell r="N19" t="str">
            <v>Malkhana Mian Channu</v>
          </cell>
          <cell r="O19" t="str">
            <v>Police Line</v>
          </cell>
          <cell r="P19" t="str">
            <v>Police Line</v>
          </cell>
          <cell r="Q19" t="str">
            <v>Intermediate Class</v>
          </cell>
          <cell r="R19">
            <v>45152</v>
          </cell>
          <cell r="S19" t="str">
            <v>0302-3765078</v>
          </cell>
          <cell r="T19" t="str">
            <v>Chak No 134-16-L P-O Mohsan wal Tehsil Mian Channu</v>
          </cell>
          <cell r="U19" t="str">
            <v>Chak No 134-16-L P-O Mohsan wal Tehsil Mian Channu</v>
          </cell>
          <cell r="V19" t="str">
            <v>NIL</v>
          </cell>
        </row>
        <row r="20">
          <cell r="D20">
            <v>1200</v>
          </cell>
          <cell r="E20" t="str">
            <v>Fida Hussain</v>
          </cell>
          <cell r="F20">
            <v>29632</v>
          </cell>
          <cell r="G20">
            <v>38884</v>
          </cell>
          <cell r="H20" t="str">
            <v>MA</v>
          </cell>
          <cell r="I20" t="str">
            <v>Khanewal</v>
          </cell>
          <cell r="J20" t="str">
            <v>Mianchanu</v>
          </cell>
          <cell r="K20" t="str">
            <v>Sadar Mianchanu</v>
          </cell>
          <cell r="L20" t="str">
            <v>--</v>
          </cell>
          <cell r="M20">
            <v>38905</v>
          </cell>
          <cell r="N20" t="str">
            <v>PS City Mian Channu</v>
          </cell>
          <cell r="O20" t="str">
            <v>PS</v>
          </cell>
          <cell r="P20" t="str">
            <v>PS City Mian Channu</v>
          </cell>
          <cell r="Q20" t="str">
            <v>Moharir</v>
          </cell>
          <cell r="R20">
            <v>45049</v>
          </cell>
          <cell r="S20" t="str">
            <v>0300-6887635</v>
          </cell>
          <cell r="T20" t="str">
            <v>Railway Phatik Chak NO 134-16-L PO Mohsinwal Tehsil Mian Chhannu</v>
          </cell>
          <cell r="U20" t="str">
            <v>Railway Phatik Chak NO 134-16-L PO Mohsinwal Tehsil Mian Chhannu</v>
          </cell>
          <cell r="V20" t="str">
            <v>NIL</v>
          </cell>
        </row>
        <row r="21">
          <cell r="D21">
            <v>1348</v>
          </cell>
          <cell r="E21" t="str">
            <v xml:space="preserve">Muhammad  Suleman </v>
          </cell>
          <cell r="F21">
            <v>31048</v>
          </cell>
          <cell r="G21">
            <v>38888</v>
          </cell>
          <cell r="H21" t="str">
            <v>BA</v>
          </cell>
          <cell r="I21" t="str">
            <v>Khanewal</v>
          </cell>
          <cell r="J21" t="str">
            <v>Mianchanu</v>
          </cell>
          <cell r="K21" t="str">
            <v>City Mianchanu</v>
          </cell>
          <cell r="L21" t="str">
            <v>promoted as HC</v>
          </cell>
          <cell r="M21">
            <v>45009</v>
          </cell>
          <cell r="N21" t="str">
            <v>PS Sadar Mian Channu</v>
          </cell>
          <cell r="O21" t="str">
            <v>PS</v>
          </cell>
          <cell r="P21" t="str">
            <v>PS Tulamba</v>
          </cell>
          <cell r="Q21" t="str">
            <v>G.Duty</v>
          </cell>
          <cell r="R21">
            <v>45068</v>
          </cell>
          <cell r="S21" t="str">
            <v>0300-6993358</v>
          </cell>
          <cell r="T21" t="str">
            <v>Chak No 129-15-L P-O Khas Tehsial Mian Channu</v>
          </cell>
          <cell r="U21" t="str">
            <v>Chak No 129-15-L P-O Khas Tehsial Mian Channu</v>
          </cell>
          <cell r="V21" t="str">
            <v>NIL</v>
          </cell>
        </row>
        <row r="22">
          <cell r="D22">
            <v>1199</v>
          </cell>
          <cell r="E22" t="str">
            <v>Abdul Majeed</v>
          </cell>
          <cell r="F22">
            <v>31796</v>
          </cell>
          <cell r="G22">
            <v>38888</v>
          </cell>
          <cell r="H22" t="str">
            <v>BA</v>
          </cell>
          <cell r="I22" t="str">
            <v>Khanewal</v>
          </cell>
          <cell r="J22" t="str">
            <v>Jehanian</v>
          </cell>
          <cell r="K22" t="str">
            <v>Jehanian</v>
          </cell>
          <cell r="L22" t="str">
            <v>promoted as HC</v>
          </cell>
          <cell r="M22">
            <v>44338</v>
          </cell>
          <cell r="N22" t="str">
            <v>PS Sadar Khanewal</v>
          </cell>
          <cell r="O22" t="str">
            <v>Guard</v>
          </cell>
          <cell r="P22" t="str">
            <v>Guard SP/Inv. House Khanewal</v>
          </cell>
          <cell r="Q22" t="str">
            <v>Incharge</v>
          </cell>
          <cell r="R22">
            <v>45078</v>
          </cell>
          <cell r="S22" t="str">
            <v>0333-6212001</v>
          </cell>
          <cell r="T22" t="str">
            <v>Chak No.103-10-R po khas tehsil  Jahanian</v>
          </cell>
          <cell r="U22" t="str">
            <v>Chak No.103-10-R po khas tehsil  Jahanian</v>
          </cell>
          <cell r="V22" t="str">
            <v>NIL</v>
          </cell>
        </row>
        <row r="23">
          <cell r="D23">
            <v>339</v>
          </cell>
          <cell r="E23" t="str">
            <v>Muhammad Saeed Akhter</v>
          </cell>
          <cell r="F23">
            <v>32106</v>
          </cell>
          <cell r="G23">
            <v>38904</v>
          </cell>
          <cell r="H23" t="str">
            <v>FA</v>
          </cell>
          <cell r="I23" t="str">
            <v>Khanewal</v>
          </cell>
          <cell r="J23" t="str">
            <v>Khanewal</v>
          </cell>
          <cell r="K23" t="str">
            <v>City Khanewal</v>
          </cell>
          <cell r="L23" t="str">
            <v>PC Farooqabad</v>
          </cell>
          <cell r="M23">
            <v>43242</v>
          </cell>
          <cell r="N23" t="str">
            <v>QRF Police Line</v>
          </cell>
          <cell r="O23" t="str">
            <v>Guard</v>
          </cell>
          <cell r="P23" t="str">
            <v>Guard Main Gate Police Line</v>
          </cell>
          <cell r="Q23" t="str">
            <v>Incharge</v>
          </cell>
          <cell r="R23">
            <v>45147</v>
          </cell>
          <cell r="S23" t="str">
            <v>0300-0811844</v>
          </cell>
          <cell r="T23" t="str">
            <v>Naru House Allah hoo colony Near Police line Khanewal</v>
          </cell>
          <cell r="U23" t="str">
            <v xml:space="preserve">Ali nawaz Town Street no.04 House no.140 Tehsil chicha watni District Sahiwal </v>
          </cell>
          <cell r="V23" t="str">
            <v>NIL</v>
          </cell>
        </row>
        <row r="24">
          <cell r="D24">
            <v>720</v>
          </cell>
          <cell r="E24" t="str">
            <v>Allah Bakhsh</v>
          </cell>
          <cell r="F24">
            <v>30560</v>
          </cell>
          <cell r="G24">
            <v>38905</v>
          </cell>
          <cell r="H24" t="str">
            <v>BA</v>
          </cell>
          <cell r="I24" t="str">
            <v>Khanewal</v>
          </cell>
          <cell r="J24" t="str">
            <v>Kabirwala</v>
          </cell>
          <cell r="K24" t="str">
            <v>Abdul Hakim</v>
          </cell>
          <cell r="L24" t="str">
            <v>PC-5 Lahore</v>
          </cell>
          <cell r="M24">
            <v>44306</v>
          </cell>
          <cell r="N24" t="str">
            <v>Guard NBP Kabirwala</v>
          </cell>
          <cell r="O24" t="str">
            <v>Khidmat Center</v>
          </cell>
          <cell r="P24" t="str">
            <v>Khidmat Markaz, Kabirwala</v>
          </cell>
          <cell r="Q24" t="str">
            <v>Incharge</v>
          </cell>
          <cell r="R24">
            <v>45055</v>
          </cell>
          <cell r="S24" t="str">
            <v>0300-8395408</v>
          </cell>
          <cell r="T24" t="str">
            <v xml:space="preserve">Street No. C House No.13 Muhallah New Multan Block X Multan </v>
          </cell>
          <cell r="U24" t="str">
            <v xml:space="preserve"> Hussain abad Sani P-O Jan Muhammad wala Tehsil kabirwala Dist khanewal </v>
          </cell>
          <cell r="V24" t="str">
            <v>NIL</v>
          </cell>
        </row>
        <row r="25">
          <cell r="D25">
            <v>786</v>
          </cell>
          <cell r="E25" t="str">
            <v>Muhammad Iqbal</v>
          </cell>
          <cell r="F25">
            <v>30798</v>
          </cell>
          <cell r="G25">
            <v>38905</v>
          </cell>
          <cell r="H25" t="str">
            <v>F.Sc</v>
          </cell>
          <cell r="I25" t="str">
            <v>Khanewal</v>
          </cell>
          <cell r="J25" t="str">
            <v>Khanewal</v>
          </cell>
          <cell r="K25" t="str">
            <v>City Khanewal</v>
          </cell>
          <cell r="L25" t="str">
            <v>Special Branch</v>
          </cell>
          <cell r="M25">
            <v>44811</v>
          </cell>
          <cell r="N25" t="str">
            <v>PS City Kabirwala</v>
          </cell>
          <cell r="O25" t="str">
            <v>DPO Office</v>
          </cell>
          <cell r="P25" t="str">
            <v>Security Branch</v>
          </cell>
          <cell r="Q25" t="str">
            <v>Comp. Opt</v>
          </cell>
          <cell r="R25" t="str">
            <v>22-12-252</v>
          </cell>
          <cell r="S25" t="str">
            <v>0300-7891009</v>
          </cell>
          <cell r="T25" t="str">
            <v>gilli no.3 house no.18 block no.11 khanewal</v>
          </cell>
          <cell r="U25" t="str">
            <v>gilli no.3 house no.18 block no.11 khanewal</v>
          </cell>
          <cell r="V25" t="str">
            <v>NIL</v>
          </cell>
        </row>
        <row r="26">
          <cell r="D26">
            <v>94</v>
          </cell>
          <cell r="E26" t="str">
            <v>Manzoor Ahmad</v>
          </cell>
          <cell r="F26">
            <v>30952</v>
          </cell>
          <cell r="G26">
            <v>38905</v>
          </cell>
          <cell r="H26" t="str">
            <v>B.Com</v>
          </cell>
          <cell r="I26" t="str">
            <v>Khanewal</v>
          </cell>
          <cell r="J26" t="str">
            <v>Khanewal</v>
          </cell>
          <cell r="K26" t="str">
            <v>Saddar Kabirwala</v>
          </cell>
          <cell r="L26" t="str">
            <v>--</v>
          </cell>
          <cell r="M26">
            <v>38905</v>
          </cell>
          <cell r="N26" t="str">
            <v>PS City Mian Channu</v>
          </cell>
          <cell r="O26" t="str">
            <v>PS</v>
          </cell>
          <cell r="P26" t="str">
            <v>PS Tulamba</v>
          </cell>
          <cell r="Q26" t="str">
            <v>Moharir</v>
          </cell>
          <cell r="R26">
            <v>45049</v>
          </cell>
          <cell r="S26" t="str">
            <v>0300-9809394</v>
          </cell>
          <cell r="T26" t="str">
            <v>Chak No 94-10-R P-O Chak No 93-10-R Tehsil &amp; Distt. Khanewal</v>
          </cell>
          <cell r="U26" t="str">
            <v>Chak No 94-10-R P-O Chak No 93-10-R Tehsil &amp; Distt. Khanewal</v>
          </cell>
          <cell r="V26" t="str">
            <v>NIL</v>
          </cell>
        </row>
        <row r="27">
          <cell r="D27">
            <v>1033</v>
          </cell>
          <cell r="E27" t="str">
            <v>Fiaz Ahmad</v>
          </cell>
          <cell r="F27">
            <v>32545</v>
          </cell>
          <cell r="G27">
            <v>38905</v>
          </cell>
          <cell r="H27" t="str">
            <v>Matric</v>
          </cell>
          <cell r="I27" t="str">
            <v>Khanewal</v>
          </cell>
          <cell r="J27" t="str">
            <v>Khanewal</v>
          </cell>
          <cell r="K27" t="str">
            <v>Sadar Khanewal</v>
          </cell>
          <cell r="L27" t="str">
            <v>Traffic Staff</v>
          </cell>
          <cell r="M27">
            <v>44879</v>
          </cell>
          <cell r="N27" t="str">
            <v>PS Makhdoom Pur</v>
          </cell>
          <cell r="O27" t="str">
            <v>PS</v>
          </cell>
          <cell r="P27" t="str">
            <v>PS Jahanian</v>
          </cell>
          <cell r="Q27" t="str">
            <v>Moharir</v>
          </cell>
          <cell r="R27">
            <v>45062</v>
          </cell>
          <cell r="S27" t="str">
            <v>0312-4471232</v>
          </cell>
          <cell r="T27" t="str">
            <v>Chack No 93-10-R Teh Khanewal</v>
          </cell>
          <cell r="U27" t="str">
            <v>Chack No 93-10-R Teh Khanewal</v>
          </cell>
          <cell r="V27" t="str">
            <v>NIL</v>
          </cell>
        </row>
        <row r="28">
          <cell r="D28">
            <v>1156</v>
          </cell>
          <cell r="E28" t="str">
            <v>Muhammad Hussain</v>
          </cell>
          <cell r="F28">
            <v>29587</v>
          </cell>
          <cell r="G28">
            <v>38912</v>
          </cell>
          <cell r="H28" t="str">
            <v>BA-LLB</v>
          </cell>
          <cell r="I28" t="str">
            <v>Khanewal</v>
          </cell>
          <cell r="J28" t="str">
            <v>Kabirwala</v>
          </cell>
          <cell r="K28" t="str">
            <v>Adda Bara Meel</v>
          </cell>
          <cell r="L28" t="str">
            <v>--</v>
          </cell>
          <cell r="M28">
            <v>38912</v>
          </cell>
          <cell r="N28" t="str">
            <v>PS Nawan Shehr</v>
          </cell>
          <cell r="O28" t="str">
            <v>Police Line</v>
          </cell>
          <cell r="P28" t="str">
            <v>Police Line</v>
          </cell>
          <cell r="Q28" t="str">
            <v>Intermediate Class</v>
          </cell>
          <cell r="R28">
            <v>45152</v>
          </cell>
          <cell r="S28" t="str">
            <v>0300-3838485</v>
          </cell>
          <cell r="T28" t="str">
            <v>Moza Sultan Abad PO Haqnwaz vala Tehsil Kabirwala</v>
          </cell>
          <cell r="U28" t="str">
            <v>Moza Sultan Abad PO Haqnwaz vala Tehsil Kabirwala</v>
          </cell>
          <cell r="V28" t="str">
            <v>NIL</v>
          </cell>
        </row>
        <row r="29">
          <cell r="D29">
            <v>347</v>
          </cell>
          <cell r="E29" t="str">
            <v>Manzor Hussain</v>
          </cell>
          <cell r="F29">
            <v>30782</v>
          </cell>
          <cell r="G29">
            <v>38912</v>
          </cell>
          <cell r="H29" t="str">
            <v>BA</v>
          </cell>
          <cell r="I29" t="str">
            <v>Khanewal</v>
          </cell>
          <cell r="J29" t="str">
            <v>Kabirwala</v>
          </cell>
          <cell r="K29" t="str">
            <v>Adda 12 Meel</v>
          </cell>
          <cell r="L29" t="str">
            <v>--</v>
          </cell>
          <cell r="M29">
            <v>38912</v>
          </cell>
          <cell r="N29" t="str">
            <v>PS City Kabirwala</v>
          </cell>
          <cell r="O29" t="str">
            <v>PS</v>
          </cell>
          <cell r="P29" t="str">
            <v>PS Sadar Kabirwala</v>
          </cell>
          <cell r="Q29" t="str">
            <v>Moharir</v>
          </cell>
          <cell r="R29">
            <v>45110</v>
          </cell>
          <cell r="S29" t="str">
            <v>0300-2444679</v>
          </cell>
          <cell r="T29" t="str">
            <v xml:space="preserve">CHAH HARAJ WALA P-O KHAS THSIL KABIRWALA </v>
          </cell>
          <cell r="U29" t="str">
            <v xml:space="preserve">CHAH HARAJ WALA P-O KHAS THSIL KABIRWALA </v>
          </cell>
          <cell r="V29" t="str">
            <v>NIL</v>
          </cell>
        </row>
        <row r="30">
          <cell r="D30">
            <v>594</v>
          </cell>
          <cell r="E30" t="str">
            <v>Muhammad Shahamand</v>
          </cell>
          <cell r="F30">
            <v>31048</v>
          </cell>
          <cell r="G30">
            <v>38912</v>
          </cell>
          <cell r="H30" t="str">
            <v>I.Cs</v>
          </cell>
          <cell r="I30" t="str">
            <v>Khanewal</v>
          </cell>
          <cell r="J30" t="str">
            <v>Kabirwala</v>
          </cell>
          <cell r="K30" t="str">
            <v>Haveli Kornga</v>
          </cell>
          <cell r="L30" t="str">
            <v>promoted as HC</v>
          </cell>
          <cell r="M30">
            <v>44338</v>
          </cell>
          <cell r="N30" t="str">
            <v>PS Khanewal Kohna</v>
          </cell>
          <cell r="O30" t="str">
            <v>DPO Office</v>
          </cell>
          <cell r="P30" t="str">
            <v xml:space="preserve">Reader Branch </v>
          </cell>
          <cell r="Q30" t="str">
            <v>Comp. Opt</v>
          </cell>
          <cell r="R30">
            <v>43875</v>
          </cell>
          <cell r="S30" t="str">
            <v>0345-7394152</v>
          </cell>
          <cell r="T30" t="str">
            <v xml:space="preserve"> Dare mahram P-O Abdul Hakim Tehsil kabirwala Distt khanewal</v>
          </cell>
          <cell r="U30" t="str">
            <v xml:space="preserve"> Dare mahram P-O Abdul Hakim Tehsil kabirwala Distt khanewal</v>
          </cell>
          <cell r="V30" t="str">
            <v>NIL</v>
          </cell>
        </row>
        <row r="31">
          <cell r="D31">
            <v>1004</v>
          </cell>
          <cell r="E31" t="str">
            <v>Bashir Ahamad</v>
          </cell>
          <cell r="F31">
            <v>29651</v>
          </cell>
          <cell r="G31">
            <v>38918</v>
          </cell>
          <cell r="H31" t="str">
            <v>FA</v>
          </cell>
          <cell r="I31" t="str">
            <v>Khanewal</v>
          </cell>
          <cell r="J31" t="str">
            <v>Jehanian</v>
          </cell>
          <cell r="K31" t="str">
            <v>Thatha Sadiqabad</v>
          </cell>
          <cell r="L31" t="str">
            <v>--</v>
          </cell>
          <cell r="M31">
            <v>38918</v>
          </cell>
          <cell r="N31" t="str">
            <v>PS Makhdoom Pur</v>
          </cell>
          <cell r="O31" t="str">
            <v>PS</v>
          </cell>
          <cell r="P31" t="str">
            <v>PS Sadar Khanewal</v>
          </cell>
          <cell r="Q31" t="str">
            <v>Moharir</v>
          </cell>
          <cell r="R31">
            <v>44954</v>
          </cell>
          <cell r="S31" t="str">
            <v>0300-80951800315-8095180</v>
          </cell>
          <cell r="T31" t="str">
            <v>Basti Dinpour Chak No:141-10R Tehsil Jahanian Dist khanewal</v>
          </cell>
          <cell r="U31" t="str">
            <v>Basti Dinpour Chak No:141-10R Tehsil Jahanian Dist khanewal</v>
          </cell>
          <cell r="V31" t="str">
            <v>NIL</v>
          </cell>
        </row>
        <row r="32">
          <cell r="D32">
            <v>963</v>
          </cell>
          <cell r="E32" t="str">
            <v>Muhammad Nawaz</v>
          </cell>
          <cell r="F32">
            <v>29690</v>
          </cell>
          <cell r="G32">
            <v>38918</v>
          </cell>
          <cell r="H32" t="str">
            <v>FA</v>
          </cell>
          <cell r="I32" t="str">
            <v>Khanewal</v>
          </cell>
          <cell r="J32" t="str">
            <v>Kabirwala</v>
          </cell>
          <cell r="K32" t="str">
            <v>Sarai Sidhu</v>
          </cell>
          <cell r="L32" t="str">
            <v>promoted as HC</v>
          </cell>
          <cell r="M32">
            <v>45062</v>
          </cell>
          <cell r="N32" t="str">
            <v>Police Line</v>
          </cell>
          <cell r="O32" t="str">
            <v>PS</v>
          </cell>
          <cell r="P32" t="str">
            <v>PS Makhdoom Pur</v>
          </cell>
          <cell r="Q32" t="str">
            <v>G.Duty</v>
          </cell>
          <cell r="R32">
            <v>44864</v>
          </cell>
          <cell r="S32" t="str">
            <v>0301-2561669</v>
          </cell>
          <cell r="T32" t="str">
            <v>Chah Nekeya Nawala Bagar Sarghana Teh Kabirwala</v>
          </cell>
          <cell r="U32" t="str">
            <v>Chah Nekeya Nawala Bagar Sarghana Teh Kabirwala</v>
          </cell>
          <cell r="V32" t="str">
            <v>NIL</v>
          </cell>
        </row>
        <row r="33">
          <cell r="D33">
            <v>558</v>
          </cell>
          <cell r="E33" t="str">
            <v>Muhammad Shafi</v>
          </cell>
          <cell r="F33">
            <v>29706</v>
          </cell>
          <cell r="G33">
            <v>38918</v>
          </cell>
          <cell r="H33" t="str">
            <v>D.Com</v>
          </cell>
          <cell r="I33" t="str">
            <v>Khanewal</v>
          </cell>
          <cell r="J33" t="str">
            <v>Kabirwala</v>
          </cell>
          <cell r="K33" t="str">
            <v>Sadar Kabirwala</v>
          </cell>
          <cell r="L33" t="str">
            <v>promoted as HC</v>
          </cell>
          <cell r="M33">
            <v>45062</v>
          </cell>
          <cell r="N33" t="str">
            <v>Naib Cour kachehry kabirwala</v>
          </cell>
          <cell r="O33" t="str">
            <v>Guard</v>
          </cell>
          <cell r="P33" t="str">
            <v>Guard Kachehry Kabirwala</v>
          </cell>
          <cell r="Q33" t="str">
            <v>Guard Duty</v>
          </cell>
          <cell r="R33">
            <v>44502</v>
          </cell>
          <cell r="S33" t="str">
            <v>0306-7713065</v>
          </cell>
          <cell r="T33" t="str">
            <v xml:space="preserve">Chah Noor Muhammad Wala korai baloch PO Haji Pur Tehsil kabirwala </v>
          </cell>
          <cell r="U33" t="str">
            <v xml:space="preserve">Chah Noor Muhammad Wala korai baloch PO Haji Pur Tehsil kabirwala </v>
          </cell>
          <cell r="V33" t="str">
            <v>NIL</v>
          </cell>
        </row>
        <row r="34">
          <cell r="D34">
            <v>21</v>
          </cell>
          <cell r="E34" t="str">
            <v>Haq Nawaz</v>
          </cell>
          <cell r="F34">
            <v>29994</v>
          </cell>
          <cell r="G34">
            <v>38918</v>
          </cell>
          <cell r="H34" t="str">
            <v>M.Sc</v>
          </cell>
          <cell r="I34" t="str">
            <v>Khanewal</v>
          </cell>
          <cell r="J34" t="str">
            <v>Khanewal</v>
          </cell>
          <cell r="K34" t="str">
            <v>Makhdom pur</v>
          </cell>
          <cell r="L34" t="str">
            <v>PC-3 Multan</v>
          </cell>
          <cell r="M34">
            <v>45117</v>
          </cell>
          <cell r="N34">
            <v>0</v>
          </cell>
          <cell r="O34" t="str">
            <v>Police line</v>
          </cell>
          <cell r="P34" t="str">
            <v>Police Line</v>
          </cell>
          <cell r="Q34" t="str">
            <v>G.Duty</v>
          </cell>
          <cell r="R34">
            <v>45117</v>
          </cell>
          <cell r="S34" t="str">
            <v>0300-7366799</v>
          </cell>
          <cell r="T34" t="str">
            <v>Street No. 06 Mohallah Peer Zakriya Makhdoompur</v>
          </cell>
          <cell r="U34" t="str">
            <v>Street No. 06 Mohallah Peer Zakriya Makhdoompur</v>
          </cell>
          <cell r="V34" t="str">
            <v>NIL</v>
          </cell>
        </row>
        <row r="35">
          <cell r="D35">
            <v>509</v>
          </cell>
          <cell r="E35" t="str">
            <v>Haji Muhammad Ameer</v>
          </cell>
          <cell r="F35">
            <v>30348</v>
          </cell>
          <cell r="G35">
            <v>38918</v>
          </cell>
          <cell r="H35" t="str">
            <v>BA</v>
          </cell>
          <cell r="I35" t="str">
            <v>Khanewal</v>
          </cell>
          <cell r="J35" t="str">
            <v>Kabirwala</v>
          </cell>
          <cell r="K35" t="str">
            <v>Sarai Sidhu</v>
          </cell>
          <cell r="L35" t="str">
            <v>PC-3 Multan</v>
          </cell>
          <cell r="M35">
            <v>44866</v>
          </cell>
          <cell r="N35" t="str">
            <v>Police Line</v>
          </cell>
          <cell r="O35" t="str">
            <v>DPO Office</v>
          </cell>
          <cell r="P35" t="str">
            <v>SP/Inv Branch</v>
          </cell>
          <cell r="Q35" t="str">
            <v>N/Reader</v>
          </cell>
          <cell r="R35">
            <v>44958</v>
          </cell>
          <cell r="S35" t="str">
            <v>0300-9797762</v>
          </cell>
          <cell r="T35" t="str">
            <v>House No.1643-168-XX No.2 Islam Nagar Bora Pur P-O New Multan Tehsil &amp;Dist; Multan</v>
          </cell>
          <cell r="U35" t="str">
            <v>Chah Ramkali, Haveli Mubarak shah P-O sarai sidhu tehsil kabirwala Distt Khanewal</v>
          </cell>
          <cell r="V35" t="str">
            <v>NIL</v>
          </cell>
        </row>
        <row r="36">
          <cell r="D36">
            <v>23</v>
          </cell>
          <cell r="E36" t="str">
            <v>Muhammad Akbar Ali</v>
          </cell>
          <cell r="F36">
            <v>30446</v>
          </cell>
          <cell r="G36">
            <v>38918</v>
          </cell>
          <cell r="H36" t="str">
            <v>BA</v>
          </cell>
          <cell r="I36" t="str">
            <v>Khanewal</v>
          </cell>
          <cell r="J36" t="str">
            <v>Mian Channu</v>
          </cell>
          <cell r="K36" t="str">
            <v>City Mian Channu</v>
          </cell>
          <cell r="L36" t="str">
            <v>PC</v>
          </cell>
          <cell r="M36">
            <v>44446</v>
          </cell>
          <cell r="N36" t="str">
            <v>Guard NBP Mian Channu</v>
          </cell>
          <cell r="O36" t="str">
            <v>Malkhana</v>
          </cell>
          <cell r="P36" t="str">
            <v>Malkhana Mian Channu</v>
          </cell>
          <cell r="Q36" t="str">
            <v>Incharge</v>
          </cell>
          <cell r="R36">
            <v>45155</v>
          </cell>
          <cell r="S36" t="str">
            <v>0304-8777744</v>
          </cell>
          <cell r="T36" t="str">
            <v>House no. 13 Rail Bazar Mian Channo District Khanewal.</v>
          </cell>
          <cell r="U36" t="str">
            <v>House no. 13 Rail Bazar Mian Channo District Khanewal.</v>
          </cell>
          <cell r="V36" t="str">
            <v>NIL</v>
          </cell>
        </row>
        <row r="37">
          <cell r="D37">
            <v>1163</v>
          </cell>
          <cell r="E37" t="str">
            <v>Abdul Rasheed</v>
          </cell>
          <cell r="F37">
            <v>30590</v>
          </cell>
          <cell r="G37">
            <v>38918</v>
          </cell>
          <cell r="H37" t="str">
            <v>F.Sc</v>
          </cell>
          <cell r="I37" t="str">
            <v>Khanewal</v>
          </cell>
          <cell r="J37" t="str">
            <v>Khanewal</v>
          </cell>
          <cell r="K37" t="str">
            <v>Khanewal Kohna</v>
          </cell>
          <cell r="L37" t="str">
            <v>promoted as HC</v>
          </cell>
          <cell r="M37">
            <v>45016</v>
          </cell>
          <cell r="N37" t="str">
            <v>Security Branch</v>
          </cell>
          <cell r="O37" t="str">
            <v>DPO Office</v>
          </cell>
          <cell r="P37" t="str">
            <v>SP/Inv Branch Khanewal</v>
          </cell>
          <cell r="Q37" t="str">
            <v>Comp. Opt</v>
          </cell>
          <cell r="R37">
            <v>45005</v>
          </cell>
          <cell r="S37" t="str">
            <v>0345-7385258</v>
          </cell>
          <cell r="T37" t="str">
            <v xml:space="preserve"> No.1 Cinema road khanewal </v>
          </cell>
          <cell r="U37" t="str">
            <v xml:space="preserve"> No.1 Cinema road khanewal </v>
          </cell>
          <cell r="V37" t="str">
            <v>NIL</v>
          </cell>
        </row>
        <row r="38">
          <cell r="D38">
            <v>989</v>
          </cell>
          <cell r="E38" t="str">
            <v>Khizar Hayyat</v>
          </cell>
          <cell r="F38">
            <v>30996</v>
          </cell>
          <cell r="G38">
            <v>38918</v>
          </cell>
          <cell r="H38" t="str">
            <v>F.Sc</v>
          </cell>
          <cell r="I38" t="str">
            <v>Khanewal</v>
          </cell>
          <cell r="J38" t="str">
            <v>Kabirwala</v>
          </cell>
          <cell r="K38" t="str">
            <v>Nawan Shehr</v>
          </cell>
          <cell r="L38" t="str">
            <v>--</v>
          </cell>
          <cell r="M38">
            <v>38918</v>
          </cell>
          <cell r="N38" t="str">
            <v>Police Line</v>
          </cell>
          <cell r="O38" t="str">
            <v>PS</v>
          </cell>
          <cell r="P38" t="str">
            <v>PS City Kabirwala</v>
          </cell>
          <cell r="Q38" t="str">
            <v>G.Duty</v>
          </cell>
          <cell r="R38">
            <v>44690</v>
          </cell>
          <cell r="S38" t="str">
            <v>0306-5139564</v>
          </cell>
          <cell r="T38" t="str">
            <v>Mouza Charag Bela Post Office Sardar Pur Tehsil Kabirwala District Khanewal</v>
          </cell>
          <cell r="U38" t="str">
            <v>Mouza Charag Bela Post Office Sardar Pur Tehsil Kabirwala District Khanewal</v>
          </cell>
          <cell r="V38" t="str">
            <v>NIL</v>
          </cell>
        </row>
        <row r="39">
          <cell r="D39">
            <v>857</v>
          </cell>
          <cell r="E39" t="str">
            <v xml:space="preserve">Mureed Hussain </v>
          </cell>
          <cell r="F39">
            <v>31018</v>
          </cell>
          <cell r="G39">
            <v>38918</v>
          </cell>
          <cell r="H39" t="str">
            <v>FA</v>
          </cell>
          <cell r="I39" t="str">
            <v>Khanewal</v>
          </cell>
          <cell r="J39" t="str">
            <v>Kabirwala</v>
          </cell>
          <cell r="K39" t="str">
            <v>City Kaibrwala</v>
          </cell>
          <cell r="L39" t="str">
            <v>promoted as HC</v>
          </cell>
          <cell r="M39">
            <v>45091</v>
          </cell>
          <cell r="N39" t="str">
            <v>Naib Court Kachehry Kabirwala</v>
          </cell>
          <cell r="O39" t="str">
            <v>PS</v>
          </cell>
          <cell r="P39" t="str">
            <v>PS Sadar Kabirwala</v>
          </cell>
          <cell r="Q39" t="str">
            <v>G.Duty</v>
          </cell>
          <cell r="R39">
            <v>45111</v>
          </cell>
          <cell r="S39" t="str">
            <v>0304-7128075</v>
          </cell>
          <cell r="T39" t="str">
            <v>Chah Saarang Vala moza Manawala PO Khas Tehsil Kabbirwala distt khanewal</v>
          </cell>
          <cell r="U39" t="str">
            <v>Chah Saarang Vala moza Manawala PO Khas Tehsil Kabbirwala distt khanewal</v>
          </cell>
          <cell r="V39" t="str">
            <v>NIL</v>
          </cell>
        </row>
        <row r="40">
          <cell r="D40">
            <v>55</v>
          </cell>
          <cell r="E40" t="str">
            <v>Ahmad Bukhsh</v>
          </cell>
          <cell r="F40">
            <v>31444</v>
          </cell>
          <cell r="G40">
            <v>38918</v>
          </cell>
          <cell r="H40" t="str">
            <v>Matric</v>
          </cell>
          <cell r="I40" t="str">
            <v>Khanewal</v>
          </cell>
          <cell r="J40" t="str">
            <v>Kabirwala</v>
          </cell>
          <cell r="K40" t="str">
            <v>Nawan Shehr</v>
          </cell>
          <cell r="L40" t="str">
            <v>PC-3</v>
          </cell>
          <cell r="M40">
            <v>44006</v>
          </cell>
          <cell r="N40" t="str">
            <v>PS Chab Kalan</v>
          </cell>
          <cell r="O40" t="str">
            <v>PS</v>
          </cell>
          <cell r="P40" t="str">
            <v>PS Makhdoom Pur</v>
          </cell>
          <cell r="Q40" t="str">
            <v>Moharir</v>
          </cell>
          <cell r="R40">
            <v>45143</v>
          </cell>
          <cell r="S40" t="str">
            <v>0300-7318949</v>
          </cell>
          <cell r="T40" t="str">
            <v>Mouza Ibrahim pur P-O chak haider abad Thsil  Kabirwala</v>
          </cell>
          <cell r="U40" t="str">
            <v>Mouza Ibrahim pur P-O chak haider abad Thsil  Kabirwala</v>
          </cell>
          <cell r="V40" t="str">
            <v>NIL</v>
          </cell>
        </row>
        <row r="41">
          <cell r="D41">
            <v>1219</v>
          </cell>
          <cell r="E41" t="str">
            <v>Dilshaad Ahmad</v>
          </cell>
          <cell r="F41">
            <v>31638</v>
          </cell>
          <cell r="G41">
            <v>38918</v>
          </cell>
          <cell r="H41" t="str">
            <v>FA</v>
          </cell>
          <cell r="I41" t="str">
            <v>Khanewal</v>
          </cell>
          <cell r="J41" t="str">
            <v>Khanewal</v>
          </cell>
          <cell r="K41" t="str">
            <v>Khanewal Kohna</v>
          </cell>
          <cell r="L41" t="str">
            <v>promoted as HC</v>
          </cell>
          <cell r="M41">
            <v>45016</v>
          </cell>
          <cell r="N41" t="str">
            <v>Guard DPO Office Khanewal</v>
          </cell>
          <cell r="O41" t="str">
            <v>Guard</v>
          </cell>
          <cell r="P41" t="str">
            <v>Guard IB Khanewal</v>
          </cell>
          <cell r="Q41" t="str">
            <v>Incharge</v>
          </cell>
          <cell r="R41">
            <v>45155</v>
          </cell>
          <cell r="S41" t="str">
            <v>0304-4856299</v>
          </cell>
          <cell r="T41" t="str">
            <v xml:space="preserve"> Basti Purana karkhana p-o khas  Khanewal</v>
          </cell>
          <cell r="U41" t="str">
            <v>Near tayybia masjied feroz nana raod   i land mhualla kelftan kaarchi</v>
          </cell>
          <cell r="V41" t="str">
            <v>NIL</v>
          </cell>
        </row>
        <row r="42">
          <cell r="D42">
            <v>777</v>
          </cell>
          <cell r="E42" t="str">
            <v>Muhammad Anwar</v>
          </cell>
          <cell r="F42">
            <v>31668</v>
          </cell>
          <cell r="G42">
            <v>38918</v>
          </cell>
          <cell r="H42" t="str">
            <v>Matric</v>
          </cell>
          <cell r="I42" t="str">
            <v>Khanewal</v>
          </cell>
          <cell r="J42" t="str">
            <v>Khanewal</v>
          </cell>
          <cell r="K42" t="str">
            <v>City Khanewal</v>
          </cell>
          <cell r="L42" t="str">
            <v>promoted as HC</v>
          </cell>
          <cell r="M42">
            <v>45062</v>
          </cell>
          <cell r="N42" t="str">
            <v>Maddat Police Line</v>
          </cell>
          <cell r="O42" t="str">
            <v>PS</v>
          </cell>
          <cell r="P42" t="str">
            <v>PS Thatha Sadiqabad</v>
          </cell>
          <cell r="Q42" t="str">
            <v>Moharir</v>
          </cell>
          <cell r="R42">
            <v>45181</v>
          </cell>
          <cell r="S42" t="str">
            <v>0301-7604962</v>
          </cell>
          <cell r="T42" t="str">
            <v>Chak No.168-10-R, Tehsil o distt khanewal</v>
          </cell>
          <cell r="U42" t="str">
            <v>Chak No.168-10-R, Tehsil o distt khanewal</v>
          </cell>
          <cell r="V42" t="str">
            <v>NIL</v>
          </cell>
        </row>
        <row r="43">
          <cell r="D43">
            <v>556</v>
          </cell>
          <cell r="E43" t="str">
            <v>Muhammad Iqbal</v>
          </cell>
          <cell r="F43">
            <v>31771</v>
          </cell>
          <cell r="G43">
            <v>38918</v>
          </cell>
          <cell r="H43" t="str">
            <v>FA</v>
          </cell>
          <cell r="I43" t="str">
            <v>Khanewal</v>
          </cell>
          <cell r="J43" t="str">
            <v>Khanewal</v>
          </cell>
          <cell r="K43" t="str">
            <v>Khanewal Kohna</v>
          </cell>
          <cell r="L43" t="str">
            <v>PC-3 Multan</v>
          </cell>
          <cell r="M43">
            <v>45153</v>
          </cell>
          <cell r="N43">
            <v>0</v>
          </cell>
          <cell r="O43" t="str">
            <v>PS</v>
          </cell>
          <cell r="P43" t="str">
            <v>PS City Khanewal</v>
          </cell>
          <cell r="Q43" t="str">
            <v>Moharir</v>
          </cell>
          <cell r="R43">
            <v>45153</v>
          </cell>
          <cell r="S43" t="str">
            <v>0300-0780526</v>
          </cell>
          <cell r="T43" t="str">
            <v>House No.443, Behind Mepco Complex, Basti Chan Shah Khanewal</v>
          </cell>
          <cell r="U43" t="str">
            <v>House No.443, Behind Mepco Complex, Basti Chan Shah Khanewal</v>
          </cell>
          <cell r="V43" t="str">
            <v>NIL</v>
          </cell>
        </row>
        <row r="44">
          <cell r="D44">
            <v>686</v>
          </cell>
          <cell r="E44" t="str">
            <v>Haq Nawaz</v>
          </cell>
          <cell r="F44">
            <v>31808</v>
          </cell>
          <cell r="G44">
            <v>38918</v>
          </cell>
          <cell r="H44" t="str">
            <v>MA</v>
          </cell>
          <cell r="I44" t="str">
            <v>Khanewal</v>
          </cell>
          <cell r="J44" t="str">
            <v>Khanewal</v>
          </cell>
          <cell r="K44" t="str">
            <v>Sadar Khanewal</v>
          </cell>
          <cell r="L44" t="str">
            <v>promoted as HC</v>
          </cell>
          <cell r="M44">
            <v>44338</v>
          </cell>
          <cell r="N44" t="str">
            <v>SP-Inv Branch Khanewal</v>
          </cell>
          <cell r="O44" t="str">
            <v>DPO Office</v>
          </cell>
          <cell r="P44" t="str">
            <v xml:space="preserve">Reader Branch </v>
          </cell>
          <cell r="Q44" t="str">
            <v>Night Comp Operator</v>
          </cell>
          <cell r="R44">
            <v>44870</v>
          </cell>
          <cell r="S44" t="str">
            <v>0306-7590416</v>
          </cell>
          <cell r="T44" t="str">
            <v>Jinnah Colony Perowal Post office Chak No. 80-10-R Tehsil &amp; Dist Khanewal</v>
          </cell>
          <cell r="U44" t="str">
            <v>Jinnah Colony Perowal Post office Chak No. 80-10-R Tehsil &amp; Dist Khanewal</v>
          </cell>
          <cell r="V44" t="str">
            <v>NIL</v>
          </cell>
        </row>
        <row r="45">
          <cell r="D45">
            <v>1237</v>
          </cell>
          <cell r="E45" t="str">
            <v>Ghulam Hussain</v>
          </cell>
          <cell r="F45">
            <v>30598</v>
          </cell>
          <cell r="G45">
            <v>39910</v>
          </cell>
          <cell r="H45" t="str">
            <v>BA</v>
          </cell>
          <cell r="I45" t="str">
            <v>Khanewal</v>
          </cell>
          <cell r="J45" t="str">
            <v>Kabirwala</v>
          </cell>
          <cell r="K45" t="str">
            <v>Nawan Shehr</v>
          </cell>
          <cell r="L45" t="str">
            <v>promoted as HC</v>
          </cell>
          <cell r="M45">
            <v>45091</v>
          </cell>
          <cell r="N45" t="str">
            <v>PS Adda Bara Meel</v>
          </cell>
          <cell r="O45" t="str">
            <v>PS</v>
          </cell>
          <cell r="P45" t="str">
            <v>PS City Kabirwala</v>
          </cell>
          <cell r="Q45" t="str">
            <v>Comp. Opt</v>
          </cell>
          <cell r="R45">
            <v>45030</v>
          </cell>
          <cell r="S45" t="str">
            <v>0302-7794654</v>
          </cell>
          <cell r="T45" t="str">
            <v>P.O Salar Wahain Kohna PS Nawan Shehr Kabirwala</v>
          </cell>
          <cell r="U45" t="str">
            <v>P.O Salar Wahain Kohna PS Nawan Shehr Kabirwala</v>
          </cell>
          <cell r="V45" t="str">
            <v>NIL</v>
          </cell>
        </row>
        <row r="46">
          <cell r="D46">
            <v>1263</v>
          </cell>
          <cell r="E46" t="str">
            <v>Manzoor Ahmed</v>
          </cell>
          <cell r="F46">
            <v>30773</v>
          </cell>
          <cell r="G46">
            <v>39910</v>
          </cell>
          <cell r="H46" t="str">
            <v>F.Sc</v>
          </cell>
          <cell r="I46" t="str">
            <v>Khanewal</v>
          </cell>
          <cell r="J46" t="str">
            <v>Mianchanu</v>
          </cell>
          <cell r="K46" t="str">
            <v>Chahb Kalan</v>
          </cell>
          <cell r="L46" t="str">
            <v>promoted as HC</v>
          </cell>
          <cell r="M46">
            <v>44338</v>
          </cell>
          <cell r="N46" t="str">
            <v>PS City Khanewal</v>
          </cell>
          <cell r="O46" t="str">
            <v>PS</v>
          </cell>
          <cell r="P46" t="str">
            <v>PS City Mian Channu</v>
          </cell>
          <cell r="Q46" t="str">
            <v>G. Duty</v>
          </cell>
          <cell r="R46">
            <v>45155</v>
          </cell>
          <cell r="S46" t="str">
            <v>0301-7594493</v>
          </cell>
          <cell r="T46" t="str">
            <v xml:space="preserve">Chak No 89-15L Mian Channu </v>
          </cell>
          <cell r="U46" t="str">
            <v xml:space="preserve">Chak No 89-15L Mian Channu </v>
          </cell>
          <cell r="V46" t="str">
            <v>NiL</v>
          </cell>
        </row>
        <row r="47">
          <cell r="D47">
            <v>755</v>
          </cell>
          <cell r="E47" t="str">
            <v>Muhammad Zaman Khan</v>
          </cell>
          <cell r="F47">
            <v>31067</v>
          </cell>
          <cell r="G47">
            <v>39910</v>
          </cell>
          <cell r="H47" t="str">
            <v>BA</v>
          </cell>
          <cell r="I47" t="str">
            <v>Khanewal</v>
          </cell>
          <cell r="J47" t="str">
            <v>Khanewal</v>
          </cell>
          <cell r="K47" t="str">
            <v>City Khanewal</v>
          </cell>
          <cell r="L47" t="str">
            <v>PC-3 Multan</v>
          </cell>
          <cell r="M47">
            <v>45156</v>
          </cell>
          <cell r="N47" t="str">
            <v>Police Line</v>
          </cell>
          <cell r="O47" t="str">
            <v>Guard</v>
          </cell>
          <cell r="P47" t="str">
            <v>Guard Judicial Rest House Khanewal</v>
          </cell>
          <cell r="Q47" t="str">
            <v>Incharge</v>
          </cell>
          <cell r="R47">
            <v>45155</v>
          </cell>
          <cell r="S47" t="str">
            <v>0307-6591140</v>
          </cell>
          <cell r="T47" t="str">
            <v>Peoples colony house no 06 street 04 block x khanewal</v>
          </cell>
          <cell r="U47" t="str">
            <v xml:space="preserve">Mohallah Muhajar Abad Chak No. 22-10-R Kacha Khuh </v>
          </cell>
          <cell r="V47" t="str">
            <v>NIL</v>
          </cell>
        </row>
        <row r="48">
          <cell r="D48">
            <v>1328</v>
          </cell>
          <cell r="E48" t="str">
            <v>Noor Ahmad</v>
          </cell>
          <cell r="F48">
            <v>31415</v>
          </cell>
          <cell r="G48">
            <v>39910</v>
          </cell>
          <cell r="H48" t="str">
            <v>D.Com</v>
          </cell>
          <cell r="I48" t="str">
            <v>Khanewal</v>
          </cell>
          <cell r="J48" t="str">
            <v>Mianchanu</v>
          </cell>
          <cell r="K48" t="str">
            <v>Sadar Mianchanu</v>
          </cell>
          <cell r="L48" t="str">
            <v>promoted as HC</v>
          </cell>
          <cell r="M48">
            <v>44805</v>
          </cell>
          <cell r="N48" t="str">
            <v>SDPO Office Mian Channu</v>
          </cell>
          <cell r="O48" t="str">
            <v>Guard</v>
          </cell>
          <cell r="P48" t="str">
            <v>Guard Khazana Mian Channu</v>
          </cell>
          <cell r="Q48" t="str">
            <v>Incharge</v>
          </cell>
          <cell r="R48">
            <v>44974</v>
          </cell>
          <cell r="S48" t="str">
            <v>0303-4396705</v>
          </cell>
          <cell r="T48" t="str">
            <v>Chak No.120-15-L P-O Khas Tehsil Mian Channu</v>
          </cell>
          <cell r="U48" t="str">
            <v>Chak No.120-15-L P-O Khas Tehsil Mian Channu</v>
          </cell>
          <cell r="V48" t="str">
            <v>NIL</v>
          </cell>
        </row>
        <row r="49">
          <cell r="D49">
            <v>929</v>
          </cell>
          <cell r="E49" t="str">
            <v>Abdul Rehman</v>
          </cell>
          <cell r="F49">
            <v>31444</v>
          </cell>
          <cell r="G49">
            <v>39910</v>
          </cell>
          <cell r="H49" t="str">
            <v>MA-B-Ed</v>
          </cell>
          <cell r="I49" t="str">
            <v>Khanewal</v>
          </cell>
          <cell r="J49" t="str">
            <v>Khanewal</v>
          </cell>
          <cell r="K49" t="str">
            <v>Sadar Khanewal</v>
          </cell>
          <cell r="L49" t="str">
            <v>PC-3, Multan</v>
          </cell>
          <cell r="M49">
            <v>44800</v>
          </cell>
          <cell r="N49" t="str">
            <v>Legal Branch Khanewal</v>
          </cell>
          <cell r="O49" t="str">
            <v>DPO Office</v>
          </cell>
          <cell r="P49" t="str">
            <v>SP/Inv Branch Khanewal</v>
          </cell>
          <cell r="Q49" t="str">
            <v>Comp. Opt</v>
          </cell>
          <cell r="R49">
            <v>45166</v>
          </cell>
          <cell r="S49" t="str">
            <v>0300-4764574</v>
          </cell>
          <cell r="T49" t="str">
            <v>House No.1765,Street No 11 ,Mohalla Colony No.3 Khanewal</v>
          </cell>
          <cell r="U49" t="str">
            <v>Chak No. 96-A-10-R P-O Chak no 73-10-R Tehsil &amp; Distt Khanewal</v>
          </cell>
          <cell r="V49" t="str">
            <v>NIL</v>
          </cell>
        </row>
        <row r="50">
          <cell r="D50">
            <v>229</v>
          </cell>
          <cell r="E50" t="str">
            <v>Ghulam fareed</v>
          </cell>
          <cell r="F50">
            <v>31472</v>
          </cell>
          <cell r="G50">
            <v>39910</v>
          </cell>
          <cell r="H50" t="str">
            <v>MA</v>
          </cell>
          <cell r="I50" t="str">
            <v>Khanewal</v>
          </cell>
          <cell r="J50" t="str">
            <v>Kabirwala</v>
          </cell>
          <cell r="K50" t="str">
            <v>city kabirwala</v>
          </cell>
          <cell r="L50" t="str">
            <v>promoted as HC</v>
          </cell>
          <cell r="M50">
            <v>45091</v>
          </cell>
          <cell r="N50" t="str">
            <v>PS Haveli Koranga</v>
          </cell>
          <cell r="O50" t="str">
            <v>PS</v>
          </cell>
          <cell r="P50" t="str">
            <v>PS Nawan Shehr</v>
          </cell>
          <cell r="Q50" t="str">
            <v>Moharir</v>
          </cell>
          <cell r="R50">
            <v>45153</v>
          </cell>
          <cell r="S50" t="str">
            <v>0300-3462771</v>
          </cell>
          <cell r="T50" t="str">
            <v xml:space="preserve">Garib abad moaza molla pur  p-o khas thsil kabirwala  </v>
          </cell>
          <cell r="U50" t="str">
            <v xml:space="preserve">Garib abad moaza molla pur  p-o khas thsil kabirwala  </v>
          </cell>
          <cell r="V50" t="str">
            <v>NIL</v>
          </cell>
        </row>
        <row r="51">
          <cell r="D51">
            <v>1092</v>
          </cell>
          <cell r="E51" t="str">
            <v>khan Muhammad</v>
          </cell>
          <cell r="F51">
            <v>31548</v>
          </cell>
          <cell r="G51">
            <v>39910</v>
          </cell>
          <cell r="H51" t="str">
            <v>FA</v>
          </cell>
          <cell r="I51" t="str">
            <v>Khanewal</v>
          </cell>
          <cell r="J51" t="str">
            <v>Kabirwala</v>
          </cell>
          <cell r="K51" t="str">
            <v>Nawan Shehr</v>
          </cell>
          <cell r="L51" t="str">
            <v>promoted as HC</v>
          </cell>
          <cell r="M51">
            <v>44338</v>
          </cell>
          <cell r="N51" t="str">
            <v>PS Khanewal Kohna</v>
          </cell>
          <cell r="O51" t="str">
            <v>PS</v>
          </cell>
          <cell r="P51" t="str">
            <v>PS Sarai Sidhu</v>
          </cell>
          <cell r="Q51" t="str">
            <v>Moharir</v>
          </cell>
          <cell r="R51">
            <v>44747</v>
          </cell>
          <cell r="S51" t="str">
            <v>0300-6767520</v>
          </cell>
          <cell r="T51" t="str">
            <v>Chah Sadeeq Akbar Chator ghar P-O Kokar Hatta Tehsil Kabirwala Dist Khanewal</v>
          </cell>
          <cell r="U51" t="str">
            <v>Chah Sadeeq Akbar Chator ghar P-O Kokar Hatta Tehsil Kabirwala Dist Khanewal</v>
          </cell>
          <cell r="V51" t="str">
            <v>NIL</v>
          </cell>
        </row>
        <row r="52">
          <cell r="D52">
            <v>190</v>
          </cell>
          <cell r="E52" t="str">
            <v>Mohsin Hussain Shah</v>
          </cell>
          <cell r="F52">
            <v>31648</v>
          </cell>
          <cell r="G52">
            <v>39910</v>
          </cell>
          <cell r="H52" t="str">
            <v>BA</v>
          </cell>
          <cell r="I52" t="str">
            <v>Khanewal</v>
          </cell>
          <cell r="J52" t="str">
            <v>Mianchanu</v>
          </cell>
          <cell r="K52" t="str">
            <v>Tulamba</v>
          </cell>
          <cell r="L52" t="str">
            <v>PC-6</v>
          </cell>
          <cell r="M52">
            <v>45117</v>
          </cell>
          <cell r="N52" t="str">
            <v>Police Line</v>
          </cell>
          <cell r="O52" t="str">
            <v>SDPO Office</v>
          </cell>
          <cell r="P52" t="str">
            <v>SDPO Office Mian Channu</v>
          </cell>
          <cell r="Q52" t="str">
            <v>N/Reader</v>
          </cell>
          <cell r="R52">
            <v>45146</v>
          </cell>
          <cell r="S52" t="str">
            <v>0333-7214885</v>
          </cell>
          <cell r="T52" t="str">
            <v>12 Darri Raod tulamba tehsil Mian Chanu distt khanewal</v>
          </cell>
          <cell r="U52" t="str">
            <v>12 Darri Raod tulamba tehsil Mian Chanu distt khanewal</v>
          </cell>
          <cell r="V52" t="str">
            <v>NIL</v>
          </cell>
        </row>
        <row r="53">
          <cell r="D53">
            <v>144</v>
          </cell>
          <cell r="E53" t="str">
            <v>Muhammad Riaz</v>
          </cell>
          <cell r="F53">
            <v>32156</v>
          </cell>
          <cell r="G53">
            <v>39910</v>
          </cell>
          <cell r="H53" t="str">
            <v>BA</v>
          </cell>
          <cell r="I53" t="str">
            <v>Khanewal</v>
          </cell>
          <cell r="J53" t="str">
            <v>Khanewal</v>
          </cell>
          <cell r="K53" t="str">
            <v>City Khanewal</v>
          </cell>
          <cell r="L53" t="str">
            <v>promoted as HC</v>
          </cell>
          <cell r="M53">
            <v>43832</v>
          </cell>
          <cell r="N53" t="str">
            <v>Guard Judicial Rest House Khanewal</v>
          </cell>
          <cell r="O53" t="str">
            <v>PS</v>
          </cell>
          <cell r="P53" t="str">
            <v>PS Sadar Kabirwala</v>
          </cell>
          <cell r="Q53" t="str">
            <v>G. Duty</v>
          </cell>
          <cell r="R53">
            <v>45155</v>
          </cell>
          <cell r="S53" t="str">
            <v>0333-6234002</v>
          </cell>
          <cell r="T53" t="str">
            <v>House No. 21 Old Civil Hospital Khanewal</v>
          </cell>
          <cell r="U53" t="str">
            <v>House No. 21 Old Civil Hospital Khanewal</v>
          </cell>
          <cell r="V53" t="str">
            <v>NIL</v>
          </cell>
        </row>
        <row r="54">
          <cell r="D54">
            <v>878</v>
          </cell>
          <cell r="E54" t="str">
            <v>Muhammad Sadique</v>
          </cell>
          <cell r="F54">
            <v>32643</v>
          </cell>
          <cell r="G54">
            <v>39910</v>
          </cell>
          <cell r="H54" t="str">
            <v>MA</v>
          </cell>
          <cell r="I54" t="str">
            <v>Khanewal</v>
          </cell>
          <cell r="J54" t="str">
            <v>Mian Channu</v>
          </cell>
          <cell r="K54" t="str">
            <v>Chab Kalan</v>
          </cell>
          <cell r="L54" t="str">
            <v>PC-3 Multan</v>
          </cell>
          <cell r="M54">
            <v>44648</v>
          </cell>
          <cell r="N54" t="str">
            <v>Police Line</v>
          </cell>
          <cell r="O54" t="str">
            <v>PS</v>
          </cell>
          <cell r="P54" t="str">
            <v>PS Sadar Mian Channu</v>
          </cell>
          <cell r="Q54" t="str">
            <v>Moharir</v>
          </cell>
          <cell r="R54">
            <v>45068</v>
          </cell>
          <cell r="S54" t="str">
            <v>0301-7824701</v>
          </cell>
          <cell r="T54" t="str">
            <v>Chak No. 109-15-L Chab Kalan Mianchannu</v>
          </cell>
          <cell r="U54" t="str">
            <v>Chak No. 109-15-L Chab Kalan Mianchannu</v>
          </cell>
          <cell r="V54" t="str">
            <v>NIL</v>
          </cell>
        </row>
        <row r="55">
          <cell r="D55">
            <v>717</v>
          </cell>
          <cell r="E55" t="str">
            <v>Haq Nawaz</v>
          </cell>
          <cell r="F55">
            <v>32969</v>
          </cell>
          <cell r="G55">
            <v>39910</v>
          </cell>
          <cell r="H55" t="str">
            <v>BA</v>
          </cell>
          <cell r="I55" t="str">
            <v>Khanewal</v>
          </cell>
          <cell r="J55" t="str">
            <v>Mian Channu</v>
          </cell>
          <cell r="K55" t="str">
            <v>City Mian Channu</v>
          </cell>
          <cell r="L55" t="str">
            <v>promoted as HC</v>
          </cell>
          <cell r="M55">
            <v>45091</v>
          </cell>
          <cell r="N55" t="str">
            <v>Naib Court ASJ Mian Channu</v>
          </cell>
          <cell r="O55" t="str">
            <v>PS</v>
          </cell>
          <cell r="P55" t="str">
            <v>PS Sadar Mian Channu</v>
          </cell>
          <cell r="Q55" t="str">
            <v>G.Duty</v>
          </cell>
          <cell r="R55">
            <v>45110</v>
          </cell>
          <cell r="S55" t="str">
            <v>0303-8826673</v>
          </cell>
          <cell r="T55" t="str">
            <v>Chak No.131-15-L P-O 132-16-L Tehsil mian Chanu Distt Khanewal</v>
          </cell>
          <cell r="U55" t="str">
            <v>Chak No.131-15-L P-O 132-16-L Tehsil mian Chanu Distt Khanewal</v>
          </cell>
          <cell r="V55" t="str">
            <v>NIL</v>
          </cell>
        </row>
        <row r="56">
          <cell r="D56">
            <v>71</v>
          </cell>
          <cell r="E56" t="str">
            <v>Ghulam Shabbir</v>
          </cell>
          <cell r="F56">
            <v>31639</v>
          </cell>
          <cell r="G56">
            <v>40309</v>
          </cell>
          <cell r="H56" t="str">
            <v>BA</v>
          </cell>
          <cell r="I56" t="str">
            <v>Khanewal</v>
          </cell>
          <cell r="J56" t="str">
            <v>Kabirwala</v>
          </cell>
          <cell r="K56" t="str">
            <v>Sadar Kabirwala</v>
          </cell>
          <cell r="L56" t="str">
            <v>PC-6</v>
          </cell>
          <cell r="M56">
            <v>45117</v>
          </cell>
          <cell r="N56" t="str">
            <v>Police Line</v>
          </cell>
          <cell r="O56" t="str">
            <v>DPO Office</v>
          </cell>
          <cell r="P56" t="str">
            <v>Legal Branch Khanewal</v>
          </cell>
          <cell r="Q56" t="str">
            <v>Comp. Opt</v>
          </cell>
          <cell r="R56">
            <v>45166</v>
          </cell>
          <cell r="S56" t="str">
            <v>0300-7334043</v>
          </cell>
          <cell r="T56" t="str">
            <v>Moza anayat pur Khokhran Tehsil kabirwala district khanewal</v>
          </cell>
          <cell r="U56" t="str">
            <v>Moza anayat pur Khokhran Tehsil kabirwala district khanewal</v>
          </cell>
          <cell r="V56" t="str">
            <v>NIL</v>
          </cell>
        </row>
        <row r="57">
          <cell r="D57">
            <v>1327</v>
          </cell>
          <cell r="E57" t="str">
            <v>Ghulam Nabi</v>
          </cell>
          <cell r="F57">
            <v>32652</v>
          </cell>
          <cell r="G57">
            <v>40309</v>
          </cell>
          <cell r="H57" t="str">
            <v>BA</v>
          </cell>
          <cell r="I57" t="str">
            <v>Khanewal</v>
          </cell>
          <cell r="J57" t="str">
            <v>jahanian</v>
          </cell>
          <cell r="K57" t="str">
            <v>Thatha Sadiqabad</v>
          </cell>
          <cell r="L57" t="str">
            <v>promoted as HC</v>
          </cell>
          <cell r="M57">
            <v>45009</v>
          </cell>
          <cell r="N57" t="str">
            <v>NIU Circle Jahanian</v>
          </cell>
          <cell r="O57" t="str">
            <v>Khidmat Center</v>
          </cell>
          <cell r="P57" t="str">
            <v>Khidmat Markaz Jahanian</v>
          </cell>
          <cell r="Q57" t="str">
            <v>Incharge</v>
          </cell>
          <cell r="R57">
            <v>45155</v>
          </cell>
          <cell r="S57" t="str">
            <v>0300-6345740</v>
          </cell>
          <cell r="T57" t="str">
            <v>Chak No.141-10-R Tehsil Jahania distt Khanewal</v>
          </cell>
          <cell r="U57" t="str">
            <v>Chak No.141-10-R Tehsil Jahania distt Khanewal</v>
          </cell>
          <cell r="V57" t="str">
            <v>NIL</v>
          </cell>
        </row>
        <row r="58">
          <cell r="D58">
            <v>1304</v>
          </cell>
          <cell r="E58" t="str">
            <v>Muhammad Mirza</v>
          </cell>
          <cell r="F58">
            <v>32793</v>
          </cell>
          <cell r="G58">
            <v>40309</v>
          </cell>
          <cell r="H58" t="str">
            <v>FA</v>
          </cell>
          <cell r="I58" t="str">
            <v>Khanewal</v>
          </cell>
          <cell r="J58" t="str">
            <v>Mianchanu</v>
          </cell>
          <cell r="K58" t="str">
            <v>Sadar Mianchanu</v>
          </cell>
          <cell r="L58" t="str">
            <v>promoted as HC</v>
          </cell>
          <cell r="M58">
            <v>45091</v>
          </cell>
          <cell r="N58" t="str">
            <v>PS City Mian Channu</v>
          </cell>
          <cell r="O58" t="str">
            <v>PS</v>
          </cell>
          <cell r="P58" t="str">
            <v>PS City Mian Channu</v>
          </cell>
          <cell r="Q58" t="str">
            <v>Addl: Moharir</v>
          </cell>
          <cell r="R58">
            <v>45110</v>
          </cell>
          <cell r="S58" t="str">
            <v>0300-5890522</v>
          </cell>
          <cell r="T58" t="str">
            <v>House No.19 Gulshan Market Multan</v>
          </cell>
          <cell r="U58" t="str">
            <v>Chak No.43-15-L Tehsil Mian Chanu distt Khanewal</v>
          </cell>
          <cell r="V58" t="str">
            <v>NIL</v>
          </cell>
        </row>
        <row r="59">
          <cell r="D59">
            <v>1346</v>
          </cell>
          <cell r="E59" t="str">
            <v xml:space="preserve">Ghulam Abbas </v>
          </cell>
          <cell r="F59">
            <v>33189</v>
          </cell>
          <cell r="G59">
            <v>40309</v>
          </cell>
          <cell r="H59" t="str">
            <v>BA</v>
          </cell>
          <cell r="I59" t="str">
            <v>Khanewal</v>
          </cell>
          <cell r="J59" t="str">
            <v>Khanewal</v>
          </cell>
          <cell r="K59" t="str">
            <v>Makhdompur</v>
          </cell>
          <cell r="L59" t="str">
            <v>promoted as HC</v>
          </cell>
          <cell r="M59">
            <v>45009</v>
          </cell>
          <cell r="N59" t="str">
            <v>PS Khanewal Kohna</v>
          </cell>
          <cell r="O59" t="str">
            <v>PS</v>
          </cell>
          <cell r="P59" t="str">
            <v>PS Adda Bara Meel</v>
          </cell>
          <cell r="Q59" t="str">
            <v>Moharir</v>
          </cell>
          <cell r="R59">
            <v>45023</v>
          </cell>
          <cell r="S59" t="str">
            <v>0302-37637640301-8309096</v>
          </cell>
          <cell r="T59" t="str">
            <v>Basti Mehra abad Makhdum pur Pahor</v>
          </cell>
          <cell r="U59" t="str">
            <v>Basti Mehra abad Makhdum pur Pahor</v>
          </cell>
          <cell r="V59" t="str">
            <v>NIL</v>
          </cell>
        </row>
        <row r="60">
          <cell r="D60">
            <v>764</v>
          </cell>
          <cell r="E60" t="str">
            <v>Muhammad Nawaz</v>
          </cell>
          <cell r="F60">
            <v>31861</v>
          </cell>
          <cell r="G60">
            <v>40360</v>
          </cell>
          <cell r="H60" t="str">
            <v>BA-B.ED</v>
          </cell>
          <cell r="I60" t="str">
            <v>Khanewal</v>
          </cell>
          <cell r="J60" t="str">
            <v>Kabirwala</v>
          </cell>
          <cell r="K60" t="str">
            <v>Sarai Sidhu</v>
          </cell>
          <cell r="L60" t="str">
            <v>promoted as HC</v>
          </cell>
          <cell r="M60">
            <v>45009</v>
          </cell>
          <cell r="N60" t="str">
            <v>Police Line</v>
          </cell>
          <cell r="O60" t="str">
            <v>DPO Office</v>
          </cell>
          <cell r="P60" t="str">
            <v>Establishment Branch (Exective)</v>
          </cell>
          <cell r="Q60" t="str">
            <v>Comp Opt.</v>
          </cell>
          <cell r="R60">
            <v>43348</v>
          </cell>
          <cell r="S60" t="str">
            <v xml:space="preserve">0346-7933476 </v>
          </cell>
          <cell r="T60" t="str">
            <v>Chah Maseet Wala Moza kot Gohar Muhammad The kabirwala khanewal</v>
          </cell>
          <cell r="U60" t="str">
            <v>Chah Maseet Wala Moza kot Gohar Muhammad The kabirwala khanewal</v>
          </cell>
          <cell r="V60" t="str">
            <v>NIL</v>
          </cell>
        </row>
        <row r="61">
          <cell r="D61">
            <v>1468</v>
          </cell>
          <cell r="E61" t="str">
            <v>Muhammad Nawaz</v>
          </cell>
          <cell r="F61">
            <v>31747</v>
          </cell>
          <cell r="G61">
            <v>40543</v>
          </cell>
          <cell r="H61" t="str">
            <v>BA</v>
          </cell>
          <cell r="I61" t="str">
            <v>Khanewal</v>
          </cell>
          <cell r="J61" t="str">
            <v>Kabirwala</v>
          </cell>
          <cell r="K61" t="str">
            <v>Adda 12 Meel</v>
          </cell>
          <cell r="L61" t="str">
            <v>promoted as HC</v>
          </cell>
          <cell r="M61">
            <v>45016</v>
          </cell>
          <cell r="N61" t="str">
            <v>PS City Kabirwala</v>
          </cell>
          <cell r="O61" t="str">
            <v>Guard</v>
          </cell>
          <cell r="P61" t="str">
            <v>Guard NBP Khanewal</v>
          </cell>
          <cell r="Q61" t="str">
            <v>Incharge</v>
          </cell>
          <cell r="R61">
            <v>45146</v>
          </cell>
          <cell r="S61" t="str">
            <v>0300-2021740</v>
          </cell>
          <cell r="T61" t="str">
            <v>New Basti Mast Pur tehsil kabirwala distt khanewal</v>
          </cell>
          <cell r="U61" t="str">
            <v>New Basti Mast Pur tehsil kabirwala distt khanewal</v>
          </cell>
          <cell r="V61" t="str">
            <v>NIL</v>
          </cell>
        </row>
        <row r="62">
          <cell r="D62">
            <v>1448</v>
          </cell>
          <cell r="E62" t="str">
            <v>Zafar Iqbal</v>
          </cell>
          <cell r="F62">
            <v>31868</v>
          </cell>
          <cell r="G62">
            <v>40543</v>
          </cell>
          <cell r="H62" t="str">
            <v>BA</v>
          </cell>
          <cell r="I62" t="str">
            <v>Khanewal</v>
          </cell>
          <cell r="J62" t="str">
            <v>Khanewal</v>
          </cell>
          <cell r="K62" t="str">
            <v>Kacha Khuh</v>
          </cell>
          <cell r="L62" t="str">
            <v>promoted as HC</v>
          </cell>
          <cell r="M62">
            <v>45091</v>
          </cell>
          <cell r="N62" t="str">
            <v>THQ Mian Channu</v>
          </cell>
          <cell r="O62" t="str">
            <v>PS</v>
          </cell>
          <cell r="P62" t="str">
            <v>PS Tulamba</v>
          </cell>
          <cell r="Q62" t="str">
            <v>Addl: Moharir</v>
          </cell>
          <cell r="R62">
            <v>45110</v>
          </cell>
          <cell r="S62" t="str">
            <v>0345-7867012</v>
          </cell>
          <cell r="T62" t="str">
            <v>Chak No 2-9-R Rath wala Tehsil Distt Khanewal</v>
          </cell>
          <cell r="U62" t="str">
            <v>Chak No 2-9-R Rath wala Tehsil Distt Khanewal</v>
          </cell>
          <cell r="V62" t="str">
            <v>NIL</v>
          </cell>
        </row>
        <row r="63">
          <cell r="D63">
            <v>1465</v>
          </cell>
          <cell r="E63" t="str">
            <v xml:space="preserve">Mureed Hussain </v>
          </cell>
          <cell r="F63">
            <v>31897</v>
          </cell>
          <cell r="G63">
            <v>40543</v>
          </cell>
          <cell r="H63" t="str">
            <v>BA</v>
          </cell>
          <cell r="I63" t="str">
            <v>Khanewal</v>
          </cell>
          <cell r="J63" t="str">
            <v>Kabirwala</v>
          </cell>
          <cell r="K63" t="str">
            <v>city kabirwala</v>
          </cell>
          <cell r="L63" t="str">
            <v>promoted as HC</v>
          </cell>
          <cell r="M63">
            <v>45091</v>
          </cell>
          <cell r="N63" t="str">
            <v>First Reserve Police Line</v>
          </cell>
          <cell r="O63" t="str">
            <v>PS</v>
          </cell>
          <cell r="P63" t="str">
            <v>PS Sadar Kabirwala</v>
          </cell>
          <cell r="Q63" t="str">
            <v>G.Duty</v>
          </cell>
          <cell r="R63">
            <v>45110</v>
          </cell>
          <cell r="S63" t="str">
            <v>0306-2648166</v>
          </cell>
          <cell r="T63" t="str">
            <v>Chah Sarang Wala Moaza Maan wala  P-o Kabirwala Tehsil Kabirwala</v>
          </cell>
          <cell r="U63" t="str">
            <v>Chah Sarang Wala Moaza Maan wala  P-o Kabirwala Tehsil Kabirwala</v>
          </cell>
          <cell r="V63" t="str">
            <v>NIL</v>
          </cell>
        </row>
        <row r="64">
          <cell r="D64">
            <v>1453</v>
          </cell>
          <cell r="E64" t="str">
            <v>Muhammad Manzoor</v>
          </cell>
          <cell r="F64">
            <v>32234</v>
          </cell>
          <cell r="G64">
            <v>40543</v>
          </cell>
          <cell r="H64" t="str">
            <v>I.Com</v>
          </cell>
          <cell r="I64" t="str">
            <v>khanewal</v>
          </cell>
          <cell r="J64" t="str">
            <v>Khanewal</v>
          </cell>
          <cell r="K64" t="str">
            <v>Makhdom pur</v>
          </cell>
          <cell r="L64" t="str">
            <v>PC-4</v>
          </cell>
          <cell r="M64">
            <v>45117</v>
          </cell>
          <cell r="N64" t="str">
            <v>Police Line</v>
          </cell>
          <cell r="O64" t="str">
            <v>PS</v>
          </cell>
          <cell r="P64" t="str">
            <v>PS City Kabirwala</v>
          </cell>
          <cell r="Q64" t="str">
            <v>G.Duty</v>
          </cell>
          <cell r="R64">
            <v>45146</v>
          </cell>
          <cell r="S64" t="str">
            <v>0302-6517338</v>
          </cell>
          <cell r="T64" t="str">
            <v>Street No,10 Mohalla Haji Imam deen Makhdoom pur Khanewal</v>
          </cell>
          <cell r="U64" t="str">
            <v>Street No,10 Mohalla Haji Imam deen Makhdoom pur Khanewal</v>
          </cell>
          <cell r="V64" t="str">
            <v>NIL</v>
          </cell>
        </row>
        <row r="65">
          <cell r="D65">
            <v>1202</v>
          </cell>
          <cell r="E65" t="str">
            <v>Hafiz Khurshid Ahmad</v>
          </cell>
          <cell r="F65">
            <v>32243</v>
          </cell>
          <cell r="G65">
            <v>40543</v>
          </cell>
          <cell r="H65" t="str">
            <v>B.Com</v>
          </cell>
          <cell r="I65" t="str">
            <v>Khanewal</v>
          </cell>
          <cell r="J65" t="str">
            <v>Jehanian</v>
          </cell>
          <cell r="K65" t="str">
            <v>Thatha Sadiqabad</v>
          </cell>
          <cell r="L65" t="str">
            <v>promoted as HC</v>
          </cell>
          <cell r="M65">
            <v>45057</v>
          </cell>
          <cell r="N65" t="str">
            <v>DSP-SDPO Office Jahanian</v>
          </cell>
          <cell r="O65" t="str">
            <v>PS</v>
          </cell>
          <cell r="P65" t="str">
            <v>PS Jahanian</v>
          </cell>
          <cell r="Q65" t="str">
            <v>G.Duty</v>
          </cell>
          <cell r="R65">
            <v>44864</v>
          </cell>
          <cell r="S65" t="str">
            <v>0301-2905686</v>
          </cell>
          <cell r="T65" t="str">
            <v>P.O Ali Sher wahn Tehsil Jahanian Distt Khanewal</v>
          </cell>
          <cell r="U65" t="str">
            <v>P.O Ali Sher wahn Tehsil Jahanian Distt Khanewal</v>
          </cell>
          <cell r="V65" t="str">
            <v>NIL</v>
          </cell>
        </row>
        <row r="66">
          <cell r="D66">
            <v>1435</v>
          </cell>
          <cell r="E66" t="str">
            <v>Fayyaz Ahmad</v>
          </cell>
          <cell r="F66">
            <v>32547</v>
          </cell>
          <cell r="G66">
            <v>40543</v>
          </cell>
          <cell r="H66" t="str">
            <v>FA</v>
          </cell>
          <cell r="I66" t="str">
            <v>Khanewal</v>
          </cell>
          <cell r="J66" t="str">
            <v>Kabirwala</v>
          </cell>
          <cell r="K66" t="str">
            <v>Sarai Sidhu</v>
          </cell>
          <cell r="L66" t="str">
            <v>promoted as HC</v>
          </cell>
          <cell r="M66">
            <v>45062</v>
          </cell>
          <cell r="N66" t="str">
            <v>PS Adda 12 Meel</v>
          </cell>
          <cell r="O66" t="str">
            <v>PS</v>
          </cell>
          <cell r="P66" t="str">
            <v>PS Adda Bara Meel</v>
          </cell>
          <cell r="Q66" t="str">
            <v>Addl: Moharir</v>
          </cell>
          <cell r="R66">
            <v>45111</v>
          </cell>
          <cell r="S66" t="str">
            <v>0342-4881238</v>
          </cell>
          <cell r="T66" t="str">
            <v>Moza Nand Pur Tehsil Kabirwala district Khanewal</v>
          </cell>
          <cell r="U66" t="str">
            <v>Moza Nand Pur Tehsil Kabirwala district Khanewal</v>
          </cell>
          <cell r="V66" t="str">
            <v>NIL</v>
          </cell>
        </row>
        <row r="67">
          <cell r="D67">
            <v>815</v>
          </cell>
          <cell r="E67" t="str">
            <v>Rao Bashir Ahmad</v>
          </cell>
          <cell r="F67">
            <v>32599</v>
          </cell>
          <cell r="G67">
            <v>40543</v>
          </cell>
          <cell r="H67" t="str">
            <v>BA</v>
          </cell>
          <cell r="I67" t="str">
            <v>Khanewal</v>
          </cell>
          <cell r="J67" t="str">
            <v>Khanewal</v>
          </cell>
          <cell r="K67" t="str">
            <v>Sadar Khanewal</v>
          </cell>
          <cell r="L67" t="str">
            <v>promoted as HC</v>
          </cell>
          <cell r="M67">
            <v>44866</v>
          </cell>
          <cell r="N67" t="str">
            <v>PS Khanewal Kohna</v>
          </cell>
          <cell r="O67" t="str">
            <v>DPO Office</v>
          </cell>
          <cell r="P67" t="str">
            <v>PO Clerk Branch</v>
          </cell>
          <cell r="Q67" t="str">
            <v>PO Clerk</v>
          </cell>
          <cell r="R67">
            <v>45065</v>
          </cell>
          <cell r="S67" t="str">
            <v>0300-4377432</v>
          </cell>
          <cell r="T67" t="str">
            <v>House No.14 Mohalla Tariq Abad Khanewal</v>
          </cell>
          <cell r="U67" t="str">
            <v>Chak No.172-10-R PS Saddar Khanewal</v>
          </cell>
          <cell r="V67" t="str">
            <v>NIL</v>
          </cell>
        </row>
        <row r="68">
          <cell r="D68">
            <v>1154</v>
          </cell>
          <cell r="E68" t="str">
            <v>Bashir Ahmad</v>
          </cell>
          <cell r="F68">
            <v>32735</v>
          </cell>
          <cell r="G68">
            <v>40543</v>
          </cell>
          <cell r="H68" t="str">
            <v>DAE Civil</v>
          </cell>
          <cell r="I68" t="str">
            <v>Khanewal</v>
          </cell>
          <cell r="J68" t="str">
            <v>Kabirwala</v>
          </cell>
          <cell r="K68" t="str">
            <v>Sarai Sidhu</v>
          </cell>
          <cell r="L68" t="str">
            <v>promoted as HC</v>
          </cell>
          <cell r="M68">
            <v>45016</v>
          </cell>
          <cell r="N68" t="str">
            <v>PS Adda 12 Meel</v>
          </cell>
          <cell r="O68" t="str">
            <v>DSP-SDPO Office</v>
          </cell>
          <cell r="P68" t="str">
            <v>Police Line</v>
          </cell>
          <cell r="Q68" t="str">
            <v>Leave 04 Months till 22.01.2024</v>
          </cell>
          <cell r="R68">
            <v>44993</v>
          </cell>
          <cell r="S68" t="str">
            <v>0306-7474347</v>
          </cell>
          <cell r="T68" t="str">
            <v>Basti Islam Khan Tangra P-o Hashmat Mirali kabirwala khanewal</v>
          </cell>
          <cell r="U68" t="str">
            <v>Basti Islam Khan Tangra P-o Hashmat Mirali kabirwala khanewal</v>
          </cell>
          <cell r="V68" t="str">
            <v>NIL</v>
          </cell>
        </row>
        <row r="69">
          <cell r="D69">
            <v>1394</v>
          </cell>
          <cell r="E69" t="str">
            <v>Zulfaqar Ali</v>
          </cell>
          <cell r="F69">
            <v>32872</v>
          </cell>
          <cell r="G69">
            <v>40543</v>
          </cell>
          <cell r="H69" t="str">
            <v>BA</v>
          </cell>
          <cell r="I69" t="str">
            <v>Khanewal</v>
          </cell>
          <cell r="J69" t="str">
            <v>Kabirwala</v>
          </cell>
          <cell r="K69" t="str">
            <v>Abdul Hakim</v>
          </cell>
          <cell r="L69" t="str">
            <v>promoted as HC</v>
          </cell>
          <cell r="M69">
            <v>45062</v>
          </cell>
          <cell r="N69" t="str">
            <v>PS City Kabirwala</v>
          </cell>
          <cell r="O69" t="str">
            <v>PS</v>
          </cell>
          <cell r="P69" t="str">
            <v>PS City Kabirwala</v>
          </cell>
          <cell r="Q69" t="str">
            <v>Addl: Moharir</v>
          </cell>
          <cell r="R69">
            <v>45111</v>
          </cell>
          <cell r="S69" t="str">
            <v>0304-9777200</v>
          </cell>
          <cell r="T69" t="str">
            <v>Moaza hussain Abad Awal P-O Kot Wala Tehsil Kabirwala District Khanewal</v>
          </cell>
          <cell r="U69" t="str">
            <v>Moaza hussain Abad Awal P-O Kot Wala Tehsil Kabirwala District Khanewal</v>
          </cell>
          <cell r="V69" t="str">
            <v>NIL</v>
          </cell>
        </row>
        <row r="70">
          <cell r="D70">
            <v>3</v>
          </cell>
          <cell r="E70" t="str">
            <v>Allah Daitta</v>
          </cell>
          <cell r="F70">
            <v>33115</v>
          </cell>
          <cell r="G70">
            <v>40543</v>
          </cell>
          <cell r="H70" t="str">
            <v>B.Sc</v>
          </cell>
          <cell r="I70" t="str">
            <v>Khanewal</v>
          </cell>
          <cell r="J70" t="str">
            <v>Kabirwala</v>
          </cell>
          <cell r="K70" t="str">
            <v>Abdul hakeem</v>
          </cell>
          <cell r="L70" t="str">
            <v>PC</v>
          </cell>
          <cell r="M70">
            <v>45117</v>
          </cell>
          <cell r="N70" t="str">
            <v>Police Line</v>
          </cell>
          <cell r="O70" t="str">
            <v>DPO Office</v>
          </cell>
          <cell r="P70" t="str">
            <v>IT Branch</v>
          </cell>
          <cell r="Q70" t="str">
            <v>Comp. Opt</v>
          </cell>
          <cell r="R70">
            <v>45146</v>
          </cell>
          <cell r="S70" t="str">
            <v>0334-6837158</v>
          </cell>
          <cell r="T70" t="str">
            <v>Basti Dharam Pura P-O  Abdul Hakim Tehsil Kabir wala Dist Khanewal</v>
          </cell>
          <cell r="U70" t="str">
            <v>Basti Dharam Pura P-O  Abdul Hakim Tehsil Kabir wala Dist Khanewal</v>
          </cell>
          <cell r="V70" t="str">
            <v>NIL</v>
          </cell>
        </row>
        <row r="71">
          <cell r="D71">
            <v>369</v>
          </cell>
          <cell r="E71" t="str">
            <v>Gias-Ud-Din</v>
          </cell>
          <cell r="F71">
            <v>33178</v>
          </cell>
          <cell r="G71">
            <v>40543</v>
          </cell>
          <cell r="H71" t="str">
            <v>BA</v>
          </cell>
          <cell r="I71" t="str">
            <v>Khanewal</v>
          </cell>
          <cell r="J71" t="str">
            <v>Mian Channu</v>
          </cell>
          <cell r="K71" t="str">
            <v>Tulamba</v>
          </cell>
          <cell r="L71" t="str">
            <v>promoted as HC</v>
          </cell>
          <cell r="M71">
            <v>45091</v>
          </cell>
          <cell r="N71" t="str">
            <v>PS Abdul Hakim</v>
          </cell>
          <cell r="O71" t="str">
            <v>PS</v>
          </cell>
          <cell r="P71" t="str">
            <v>PS Abdul Hakim</v>
          </cell>
          <cell r="Q71" t="str">
            <v>Addl: Moharir</v>
          </cell>
          <cell r="R71">
            <v>45110</v>
          </cell>
          <cell r="S71" t="str">
            <v>0345-7476905</v>
          </cell>
          <cell r="T71" t="str">
            <v>Mir Pur P-O Tulamba Tehsil  Mian Channu</v>
          </cell>
          <cell r="U71" t="str">
            <v>Mir Pur P-O Tulamba Tehsil  Mian Channu</v>
          </cell>
          <cell r="V71" t="str">
            <v>NIL</v>
          </cell>
        </row>
        <row r="72">
          <cell r="D72">
            <v>928</v>
          </cell>
          <cell r="E72" t="str">
            <v xml:space="preserve">Muhammad  Arif </v>
          </cell>
          <cell r="F72">
            <v>33187</v>
          </cell>
          <cell r="G72">
            <v>40543</v>
          </cell>
          <cell r="H72" t="str">
            <v>I.Com</v>
          </cell>
          <cell r="I72" t="str">
            <v>Khanewal</v>
          </cell>
          <cell r="J72" t="str">
            <v>Mian Channu</v>
          </cell>
          <cell r="K72" t="str">
            <v>Saddar Mian Channu</v>
          </cell>
          <cell r="L72" t="str">
            <v>promoted as HC</v>
          </cell>
          <cell r="M72">
            <v>45091</v>
          </cell>
          <cell r="N72" t="str">
            <v>Guard Kachehry Mian Channu</v>
          </cell>
          <cell r="O72" t="str">
            <v>PS</v>
          </cell>
          <cell r="P72" t="str">
            <v>PS Chab Kalan</v>
          </cell>
          <cell r="Q72" t="str">
            <v>Addl: Moharir</v>
          </cell>
          <cell r="R72">
            <v>45110</v>
          </cell>
          <cell r="S72" t="str">
            <v>0304-8423975</v>
          </cell>
          <cell r="T72" t="str">
            <v>Chak No.46-15-L Mian Channu</v>
          </cell>
          <cell r="U72" t="str">
            <v>Chak No.46-15-L Mian Channu</v>
          </cell>
          <cell r="V72" t="str">
            <v>NIL</v>
          </cell>
        </row>
        <row r="73">
          <cell r="D73">
            <v>233</v>
          </cell>
          <cell r="E73" t="str">
            <v>Abdul Razaq</v>
          </cell>
          <cell r="F73">
            <v>33305</v>
          </cell>
          <cell r="G73">
            <v>40543</v>
          </cell>
          <cell r="H73" t="str">
            <v>FA</v>
          </cell>
          <cell r="I73" t="str">
            <v>Khanewal</v>
          </cell>
          <cell r="J73" t="str">
            <v>Kabirwala</v>
          </cell>
          <cell r="K73" t="str">
            <v>Sarai Sidhu</v>
          </cell>
          <cell r="L73" t="str">
            <v>promoted as HC</v>
          </cell>
          <cell r="M73">
            <v>45091</v>
          </cell>
          <cell r="N73" t="str">
            <v>PS Nawan Shehr</v>
          </cell>
          <cell r="O73" t="str">
            <v>PS</v>
          </cell>
          <cell r="P73" t="str">
            <v>PS Nawan Shehr</v>
          </cell>
          <cell r="Q73" t="str">
            <v>Addl: Moharir</v>
          </cell>
          <cell r="R73">
            <v>45110</v>
          </cell>
          <cell r="S73" t="str">
            <v>0300-7335548</v>
          </cell>
          <cell r="T73" t="str">
            <v>Sardar Pur PO Khas Tehsil Kabirwala</v>
          </cell>
          <cell r="U73" t="str">
            <v>Sardar Pur PO Khas Tehsil Kabirwala</v>
          </cell>
          <cell r="V73" t="str">
            <v>NIL</v>
          </cell>
        </row>
        <row r="74">
          <cell r="D74">
            <v>444</v>
          </cell>
          <cell r="E74" t="str">
            <v xml:space="preserve">Muhammad Manzoor </v>
          </cell>
          <cell r="F74">
            <v>32510</v>
          </cell>
          <cell r="G74">
            <v>41591</v>
          </cell>
          <cell r="H74" t="str">
            <v>DAE Elect.</v>
          </cell>
          <cell r="I74" t="str">
            <v>Khanewal</v>
          </cell>
          <cell r="J74" t="str">
            <v>Kabirwala</v>
          </cell>
          <cell r="K74" t="str">
            <v>City Kabirwala</v>
          </cell>
          <cell r="L74" t="str">
            <v>promoted as HC</v>
          </cell>
          <cell r="M74">
            <v>45091</v>
          </cell>
          <cell r="N74" t="str">
            <v>Police Line</v>
          </cell>
          <cell r="O74" t="str">
            <v>DPO Office</v>
          </cell>
          <cell r="P74" t="str">
            <v>Establishment Branch (Exective)</v>
          </cell>
          <cell r="Q74" t="str">
            <v>Comp. Opt (Night)</v>
          </cell>
          <cell r="R74">
            <v>44958</v>
          </cell>
          <cell r="S74" t="str">
            <v>0300-7350101</v>
          </cell>
          <cell r="T74" t="str">
            <v>Mohalla New West City Kabirwala</v>
          </cell>
          <cell r="U74" t="str">
            <v>Mohalla New West City Kabirwala</v>
          </cell>
          <cell r="V74" t="str">
            <v>NIL</v>
          </cell>
        </row>
        <row r="75">
          <cell r="D75">
            <v>445</v>
          </cell>
          <cell r="E75" t="str">
            <v>Zaffar Hussain</v>
          </cell>
          <cell r="F75">
            <v>33725</v>
          </cell>
          <cell r="G75">
            <v>42116</v>
          </cell>
          <cell r="H75" t="str">
            <v>FSc</v>
          </cell>
          <cell r="I75" t="str">
            <v>Khanewal</v>
          </cell>
          <cell r="J75" t="str">
            <v>KAbirwala</v>
          </cell>
          <cell r="K75" t="str">
            <v>Sadar Kabirwala</v>
          </cell>
          <cell r="L75" t="str">
            <v>promoted as HC</v>
          </cell>
          <cell r="M75">
            <v>45091</v>
          </cell>
          <cell r="N75" t="str">
            <v>Police Line</v>
          </cell>
          <cell r="O75" t="str">
            <v>DPO Office</v>
          </cell>
          <cell r="P75" t="str">
            <v>Reader Branch</v>
          </cell>
          <cell r="Q75" t="str">
            <v>N/Reader</v>
          </cell>
          <cell r="R75">
            <v>45111</v>
          </cell>
          <cell r="S75" t="str">
            <v>0306-4799248</v>
          </cell>
          <cell r="T75" t="str">
            <v>Chah Kot wala Post Office Kohiwala Tehsil Kabirwala</v>
          </cell>
          <cell r="U75" t="str">
            <v>Chah Kot wala Post Office Kohiwala Tehsil Kabirwala</v>
          </cell>
          <cell r="V75" t="str">
            <v>NIL</v>
          </cell>
        </row>
        <row r="76">
          <cell r="D76">
            <v>547</v>
          </cell>
          <cell r="E76" t="str">
            <v>Fiaz Ahmad</v>
          </cell>
          <cell r="F76">
            <v>34790</v>
          </cell>
          <cell r="G76">
            <v>42116</v>
          </cell>
          <cell r="H76" t="str">
            <v>FSc</v>
          </cell>
          <cell r="I76" t="str">
            <v>Khanewal</v>
          </cell>
          <cell r="J76" t="str">
            <v>Khanewal</v>
          </cell>
          <cell r="K76" t="str">
            <v>Sadar Khanewal</v>
          </cell>
          <cell r="L76" t="str">
            <v>promoted as HC</v>
          </cell>
          <cell r="M76">
            <v>45091</v>
          </cell>
          <cell r="N76" t="str">
            <v>PS Kacha Khuh</v>
          </cell>
          <cell r="O76" t="str">
            <v>PS</v>
          </cell>
          <cell r="P76" t="str">
            <v>PS Kacha Khuh</v>
          </cell>
          <cell r="Q76" t="str">
            <v>Addl: Moharir</v>
          </cell>
          <cell r="R76">
            <v>45110</v>
          </cell>
          <cell r="S76" t="str">
            <v>0317-0067193</v>
          </cell>
          <cell r="T76" t="str">
            <v>Chak No. 93-10-R Khanewal</v>
          </cell>
          <cell r="U76" t="str">
            <v>Chak No. 93-10-R Khanewal</v>
          </cell>
          <cell r="V76" t="str">
            <v>NIL</v>
          </cell>
        </row>
        <row r="77">
          <cell r="D77">
            <v>601</v>
          </cell>
          <cell r="E77" t="str">
            <v>Allah Ditta</v>
          </cell>
          <cell r="F77">
            <v>32995</v>
          </cell>
          <cell r="G77">
            <v>42166</v>
          </cell>
          <cell r="H77" t="str">
            <v>BA</v>
          </cell>
          <cell r="I77" t="str">
            <v>Khanewal</v>
          </cell>
          <cell r="J77" t="str">
            <v>Mian Channu</v>
          </cell>
          <cell r="K77" t="str">
            <v>Tulamba</v>
          </cell>
          <cell r="L77" t="str">
            <v>promoted as HC</v>
          </cell>
          <cell r="M77">
            <v>45091</v>
          </cell>
          <cell r="N77" t="str">
            <v>PS Abdul Hakim</v>
          </cell>
          <cell r="O77" t="str">
            <v>PS</v>
          </cell>
          <cell r="P77" t="str">
            <v>PS Sadar Mian Channu</v>
          </cell>
          <cell r="Q77" t="str">
            <v>Addl: Moharir</v>
          </cell>
          <cell r="R77">
            <v>45110</v>
          </cell>
          <cell r="S77" t="str">
            <v>0345-7394505</v>
          </cell>
          <cell r="T77" t="str">
            <v>Mouza Bonga Post Office Chak No. 124-7-ER Tehsil Mianchannu</v>
          </cell>
          <cell r="U77" t="str">
            <v>Mouza Bonga Post Office Chak No. 124-7-ER Tehsil Mianchannu</v>
          </cell>
          <cell r="V77" t="str">
            <v>NIL</v>
          </cell>
        </row>
        <row r="78">
          <cell r="D78">
            <v>788</v>
          </cell>
          <cell r="E78" t="str">
            <v>Nazair Ahmad</v>
          </cell>
          <cell r="F78">
            <v>34358</v>
          </cell>
          <cell r="G78">
            <v>42167</v>
          </cell>
          <cell r="H78" t="str">
            <v>I.C.S</v>
          </cell>
          <cell r="I78" t="str">
            <v>Khanewal</v>
          </cell>
          <cell r="J78" t="str">
            <v>jahanian</v>
          </cell>
          <cell r="K78" t="str">
            <v>Jahanian</v>
          </cell>
          <cell r="L78" t="str">
            <v>PC Farooqabad</v>
          </cell>
          <cell r="M78">
            <v>43241</v>
          </cell>
          <cell r="N78" t="str">
            <v>DSP-SDPO Office Jahanian</v>
          </cell>
          <cell r="O78" t="str">
            <v>SDPO Office</v>
          </cell>
          <cell r="P78" t="str">
            <v>DSP/SDPO Office Jahanian</v>
          </cell>
          <cell r="Q78" t="str">
            <v>N/Reader</v>
          </cell>
          <cell r="R78">
            <v>45175</v>
          </cell>
          <cell r="S78" t="str">
            <v>0302-3657572</v>
          </cell>
          <cell r="T78" t="str">
            <v>Chak No. 103-10-R Tehsil Jahanian</v>
          </cell>
          <cell r="U78" t="str">
            <v>Chak No. 103-10-R Tehsil Jahanian</v>
          </cell>
          <cell r="V78" t="str">
            <v>NIL</v>
          </cell>
        </row>
        <row r="79">
          <cell r="D79">
            <v>778</v>
          </cell>
          <cell r="E79" t="str">
            <v>Ameer Bukhsh</v>
          </cell>
          <cell r="F79">
            <v>30290</v>
          </cell>
          <cell r="G79">
            <v>38918</v>
          </cell>
          <cell r="H79" t="str">
            <v>BA</v>
          </cell>
          <cell r="I79" t="str">
            <v>Khanewal</v>
          </cell>
          <cell r="J79" t="str">
            <v>Kabirwala</v>
          </cell>
          <cell r="K79" t="str">
            <v>Nawan Shehr</v>
          </cell>
          <cell r="L79">
            <v>0</v>
          </cell>
          <cell r="M79">
            <v>38918</v>
          </cell>
          <cell r="N79" t="str">
            <v>PS Sarai Sidhu</v>
          </cell>
          <cell r="O79" t="str">
            <v>Guard</v>
          </cell>
          <cell r="P79" t="str">
            <v>Guard NBP Kabirwala</v>
          </cell>
          <cell r="Q79" t="str">
            <v>Incharge</v>
          </cell>
          <cell r="R79">
            <v>45055</v>
          </cell>
          <cell r="S79" t="str">
            <v>0300-7301092</v>
          </cell>
          <cell r="T79" t="str">
            <v>New Multan colony  House no 20-1266 Block u Multan</v>
          </cell>
          <cell r="U79" t="str">
            <v>Chowk Nawan Shaher P-o Khas Tehsil kabirwala</v>
          </cell>
          <cell r="V79">
            <v>42584</v>
          </cell>
        </row>
        <row r="80">
          <cell r="D80">
            <v>261</v>
          </cell>
          <cell r="E80" t="str">
            <v>Muhammad  Ramzan</v>
          </cell>
          <cell r="F80">
            <v>27805</v>
          </cell>
          <cell r="G80">
            <v>36704</v>
          </cell>
          <cell r="H80" t="str">
            <v>B.Sc</v>
          </cell>
          <cell r="I80" t="str">
            <v>Khanewal</v>
          </cell>
          <cell r="J80" t="str">
            <v>Khanewal</v>
          </cell>
          <cell r="K80" t="str">
            <v>Makhdom pur</v>
          </cell>
          <cell r="L80" t="str">
            <v>PQR, HQrs</v>
          </cell>
          <cell r="M80">
            <v>44670</v>
          </cell>
          <cell r="N80" t="str">
            <v>PS Kacha Khuh</v>
          </cell>
          <cell r="O80" t="str">
            <v>PS</v>
          </cell>
          <cell r="P80" t="str">
            <v>PS Kacha Khuh</v>
          </cell>
          <cell r="Q80" t="str">
            <v>Moharir Chowki Aaqil</v>
          </cell>
          <cell r="R80">
            <v>45155</v>
          </cell>
          <cell r="S80" t="str">
            <v>0333-6226441</v>
          </cell>
          <cell r="T80" t="str">
            <v xml:space="preserve">Chak No. 14-9-R P-O khas Teshil khanewal </v>
          </cell>
          <cell r="U80" t="str">
            <v xml:space="preserve">Chak No. 14-9-R P-O khas Teshil khanewal </v>
          </cell>
          <cell r="V80">
            <v>42584</v>
          </cell>
        </row>
        <row r="81">
          <cell r="D81">
            <v>431</v>
          </cell>
          <cell r="E81" t="str">
            <v>Allah Ditta</v>
          </cell>
          <cell r="F81">
            <v>27905</v>
          </cell>
          <cell r="G81">
            <v>35638</v>
          </cell>
          <cell r="H81" t="str">
            <v>FA</v>
          </cell>
          <cell r="I81" t="str">
            <v>Khanewal</v>
          </cell>
          <cell r="J81" t="str">
            <v>Mian Channu</v>
          </cell>
          <cell r="K81" t="str">
            <v>Sadar MianChannu</v>
          </cell>
          <cell r="L81" t="str">
            <v>PC Farooabad</v>
          </cell>
          <cell r="M81">
            <v>38390</v>
          </cell>
          <cell r="N81" t="str">
            <v>PS Chab Kalan</v>
          </cell>
          <cell r="O81" t="str">
            <v>PS</v>
          </cell>
          <cell r="P81" t="str">
            <v>PS Haveli Koranga</v>
          </cell>
          <cell r="Q81" t="str">
            <v>Moharir</v>
          </cell>
          <cell r="R81">
            <v>45153</v>
          </cell>
          <cell r="S81" t="str">
            <v>0300-7316825</v>
          </cell>
          <cell r="T81" t="str">
            <v>Chak No 46-15-L Tehsil Mian Channu</v>
          </cell>
          <cell r="U81" t="str">
            <v>Chak No 46-15-L Tehsil Mian Channu</v>
          </cell>
          <cell r="V81">
            <v>42825</v>
          </cell>
        </row>
        <row r="82">
          <cell r="D82">
            <v>1045</v>
          </cell>
          <cell r="E82" t="str">
            <v>Ahmad yar</v>
          </cell>
          <cell r="F82">
            <v>29680</v>
          </cell>
          <cell r="G82">
            <v>38811</v>
          </cell>
          <cell r="H82" t="str">
            <v>BA</v>
          </cell>
          <cell r="I82" t="str">
            <v>Khanewal</v>
          </cell>
          <cell r="J82" t="str">
            <v>Kabirwala</v>
          </cell>
          <cell r="K82" t="str">
            <v>Sarai Sidhu</v>
          </cell>
          <cell r="L82" t="str">
            <v>promoted as HC</v>
          </cell>
          <cell r="M82">
            <v>45062</v>
          </cell>
          <cell r="N82" t="str">
            <v>PS Nawan Shehr</v>
          </cell>
          <cell r="O82" t="str">
            <v>PS</v>
          </cell>
          <cell r="P82" t="str">
            <v>PS City Kabirwala</v>
          </cell>
          <cell r="Q82" t="str">
            <v>G.Duty</v>
          </cell>
          <cell r="R82">
            <v>45091</v>
          </cell>
          <cell r="S82" t="str">
            <v>0300-8019181</v>
          </cell>
          <cell r="T82" t="str">
            <v>Ward No-12 Jamil Colony  Tehsil Kabir wala Distt Khanewal</v>
          </cell>
          <cell r="U82" t="str">
            <v>Mahr Muhammad Israr Wala P-O Chopratta Tehsil Kabir wala Distt Khanewal</v>
          </cell>
          <cell r="V82">
            <v>42921</v>
          </cell>
        </row>
        <row r="83">
          <cell r="D83">
            <v>630</v>
          </cell>
          <cell r="E83" t="str">
            <v>Muhammad Adrees</v>
          </cell>
          <cell r="F83">
            <v>32325</v>
          </cell>
          <cell r="G83">
            <v>38905</v>
          </cell>
          <cell r="H83" t="str">
            <v>Matric</v>
          </cell>
          <cell r="I83" t="str">
            <v>Multan</v>
          </cell>
          <cell r="J83" t="str">
            <v>Multan</v>
          </cell>
          <cell r="K83" t="str">
            <v>makhdoom Rasheed</v>
          </cell>
          <cell r="L83" t="str">
            <v>--</v>
          </cell>
          <cell r="M83">
            <v>38905</v>
          </cell>
          <cell r="N83" t="str">
            <v>PS Nawan Shehr</v>
          </cell>
          <cell r="O83" t="str">
            <v>Police Line</v>
          </cell>
          <cell r="P83" t="str">
            <v>Police Line</v>
          </cell>
          <cell r="Q83" t="str">
            <v>Intermediate Class</v>
          </cell>
          <cell r="R83">
            <v>45152</v>
          </cell>
          <cell r="S83" t="str">
            <v>0300-6881801</v>
          </cell>
          <cell r="T83" t="str">
            <v>Jalal Abad North P-O Khas Tehsil &amp; Distt Multan</v>
          </cell>
          <cell r="U83" t="str">
            <v>Jalal Abad North P-O Khas Tehsil &amp; Distt Multan</v>
          </cell>
          <cell r="V83">
            <v>42943</v>
          </cell>
        </row>
        <row r="84">
          <cell r="D84">
            <v>754</v>
          </cell>
          <cell r="E84" t="str">
            <v>Shamas Uddin</v>
          </cell>
          <cell r="F84">
            <v>29665</v>
          </cell>
          <cell r="G84">
            <v>38918</v>
          </cell>
          <cell r="H84" t="str">
            <v>BA</v>
          </cell>
          <cell r="I84" t="str">
            <v>Khanewal</v>
          </cell>
          <cell r="J84" t="str">
            <v>Kabirwala</v>
          </cell>
          <cell r="K84" t="str">
            <v>Sarai Sidhu</v>
          </cell>
          <cell r="L84" t="str">
            <v>PC-5 Lahore</v>
          </cell>
          <cell r="M84">
            <v>44306</v>
          </cell>
          <cell r="N84" t="str">
            <v>Haider Squad Kabirwala</v>
          </cell>
          <cell r="O84" t="str">
            <v>PS</v>
          </cell>
          <cell r="P84" t="str">
            <v>PS City Kabirwala</v>
          </cell>
          <cell r="Q84" t="str">
            <v>G.Duty</v>
          </cell>
          <cell r="R84">
            <v>44728</v>
          </cell>
          <cell r="S84" t="str">
            <v>0301-7050719</v>
          </cell>
          <cell r="T84" t="str">
            <v>Near Sabzi Mandi Street No. 02, Sarai Sidhu Tehsil kabirwala</v>
          </cell>
          <cell r="U84" t="str">
            <v>Near Sabzi Mandi Street No. 02, Sarai Sidhu Tehsil kabirwala</v>
          </cell>
          <cell r="V84">
            <v>43187</v>
          </cell>
        </row>
        <row r="85">
          <cell r="D85">
            <v>191</v>
          </cell>
          <cell r="E85" t="str">
            <v>Muhammad Ramzan</v>
          </cell>
          <cell r="F85">
            <v>28602</v>
          </cell>
          <cell r="G85">
            <v>36704</v>
          </cell>
          <cell r="H85" t="str">
            <v>MA</v>
          </cell>
          <cell r="I85" t="str">
            <v>Khanewal</v>
          </cell>
          <cell r="J85" t="str">
            <v>Mian Channu</v>
          </cell>
          <cell r="K85" t="str">
            <v>Tulamba</v>
          </cell>
          <cell r="L85" t="str">
            <v>PC-3 Multan</v>
          </cell>
          <cell r="M85">
            <v>44337</v>
          </cell>
          <cell r="N85" t="str">
            <v>Guard Judges Colony Mian Channu</v>
          </cell>
          <cell r="O85" t="str">
            <v>PS</v>
          </cell>
          <cell r="P85" t="str">
            <v>PS Sadar Mian Channu</v>
          </cell>
          <cell r="Q85" t="str">
            <v>Chowki Jandiali</v>
          </cell>
          <cell r="R85">
            <v>45161</v>
          </cell>
          <cell r="S85" t="str">
            <v>0301-7598553</v>
          </cell>
          <cell r="T85" t="str">
            <v>Deputy Wala Chak No. 6-8-AR P-O Chak No. 6-8-AR Pathanwala Tehsil  Mianchannu</v>
          </cell>
          <cell r="U85" t="str">
            <v>Deputy Wala Chak No. 6-8-AR P-O Chak No. 6-8-AR Pathanwala Tehsil  Mianchannu</v>
          </cell>
          <cell r="V85">
            <v>43231</v>
          </cell>
        </row>
        <row r="86">
          <cell r="D86">
            <v>184</v>
          </cell>
          <cell r="E86" t="str">
            <v>Allah Yar</v>
          </cell>
          <cell r="F86">
            <v>31413</v>
          </cell>
          <cell r="G86">
            <v>38912</v>
          </cell>
          <cell r="H86" t="str">
            <v>FA</v>
          </cell>
          <cell r="I86" t="str">
            <v>Khanewal</v>
          </cell>
          <cell r="J86" t="str">
            <v>Mian Channu</v>
          </cell>
          <cell r="K86" t="str">
            <v>Saddar Mian Channu</v>
          </cell>
          <cell r="L86" t="str">
            <v>CTD</v>
          </cell>
          <cell r="M86">
            <v>45055</v>
          </cell>
          <cell r="N86" t="str">
            <v>Police Line</v>
          </cell>
          <cell r="O86" t="str">
            <v>PS</v>
          </cell>
          <cell r="P86" t="str">
            <v>PS Chab Kalan</v>
          </cell>
          <cell r="Q86" t="str">
            <v>G.Duty</v>
          </cell>
          <cell r="R86">
            <v>45055</v>
          </cell>
          <cell r="S86" t="str">
            <v>0300-7316193</v>
          </cell>
          <cell r="T86" t="str">
            <v>Chak No 49-15-L  p-o chak no-50-15-L Tehsil Mian Channu</v>
          </cell>
          <cell r="U86" t="str">
            <v>Chak No 49-15-L  p-o chak no-50-15-L Tehsil Mian Channu</v>
          </cell>
          <cell r="V86">
            <v>43355</v>
          </cell>
        </row>
        <row r="87">
          <cell r="D87">
            <v>323</v>
          </cell>
          <cell r="E87" t="str">
            <v>Yar Muhammad</v>
          </cell>
          <cell r="F87">
            <v>28823</v>
          </cell>
          <cell r="G87">
            <v>37450</v>
          </cell>
          <cell r="H87" t="str">
            <v>BA</v>
          </cell>
          <cell r="I87" t="str">
            <v>Khanewal</v>
          </cell>
          <cell r="J87" t="str">
            <v>Jahanian</v>
          </cell>
          <cell r="K87" t="str">
            <v>Jahanian</v>
          </cell>
          <cell r="L87" t="str">
            <v>PC Farooqabad</v>
          </cell>
          <cell r="M87">
            <v>43116</v>
          </cell>
          <cell r="N87" t="str">
            <v>Police Line</v>
          </cell>
          <cell r="O87" t="str">
            <v>PS</v>
          </cell>
          <cell r="P87" t="str">
            <v>PS Thatha Sadiqabad</v>
          </cell>
          <cell r="Q87" t="str">
            <v>G. Duty</v>
          </cell>
          <cell r="R87">
            <v>45181</v>
          </cell>
          <cell r="S87" t="str">
            <v>0301-7514797</v>
          </cell>
          <cell r="T87" t="str">
            <v>Basti Aima Moza Mian Pur P.O 148-10-R Tehsil Jahanian Ps Jahanian Distt Khanewal</v>
          </cell>
          <cell r="U87" t="str">
            <v>Basti Aima Moza Mian Pur P.O 148-10-R Tehsil Jahanian Ps Jahanian Distt Khanewal</v>
          </cell>
          <cell r="V87">
            <v>43506</v>
          </cell>
        </row>
        <row r="88">
          <cell r="D88">
            <v>554</v>
          </cell>
          <cell r="E88" t="str">
            <v>Zulifqar</v>
          </cell>
          <cell r="F88">
            <v>29742</v>
          </cell>
          <cell r="G88">
            <v>38918</v>
          </cell>
          <cell r="H88" t="str">
            <v>FA</v>
          </cell>
          <cell r="I88" t="str">
            <v>Khanewal</v>
          </cell>
          <cell r="J88" t="str">
            <v>Mian Channu</v>
          </cell>
          <cell r="K88" t="str">
            <v>City Mian Channu</v>
          </cell>
          <cell r="L88" t="str">
            <v>PC Farooqabad</v>
          </cell>
          <cell r="M88">
            <v>43034</v>
          </cell>
          <cell r="N88" t="str">
            <v>PS Sadar Khanewal</v>
          </cell>
          <cell r="O88" t="str">
            <v>Police Line</v>
          </cell>
          <cell r="P88" t="str">
            <v>Police Line</v>
          </cell>
          <cell r="Q88" t="str">
            <v>Suspended</v>
          </cell>
          <cell r="R88">
            <v>45176</v>
          </cell>
          <cell r="S88" t="str">
            <v>0300-4199068</v>
          </cell>
          <cell r="T88" t="str">
            <v>Sahara Town St. No.1 PS City Mian Channu distt Khanewal</v>
          </cell>
          <cell r="U88" t="str">
            <v>Sahara Town St. No.1 PS City Mian Channu distt Khanewal</v>
          </cell>
          <cell r="V88">
            <v>43647</v>
          </cell>
        </row>
        <row r="89">
          <cell r="D89">
            <v>208</v>
          </cell>
          <cell r="E89" t="str">
            <v xml:space="preserve">Altaf Hussain </v>
          </cell>
          <cell r="F89">
            <v>30655</v>
          </cell>
          <cell r="G89">
            <v>38918</v>
          </cell>
          <cell r="H89" t="str">
            <v>Matric</v>
          </cell>
          <cell r="I89" t="str">
            <v>Khanewal</v>
          </cell>
          <cell r="J89" t="str">
            <v>Mian Channu</v>
          </cell>
          <cell r="K89" t="str">
            <v>Saddar Mian Channu</v>
          </cell>
          <cell r="L89" t="str">
            <v>--</v>
          </cell>
          <cell r="M89">
            <v>38918</v>
          </cell>
          <cell r="N89" t="str">
            <v>PS Chab Kalan</v>
          </cell>
          <cell r="O89" t="str">
            <v>Police Line</v>
          </cell>
          <cell r="P89" t="str">
            <v>Police Line</v>
          </cell>
          <cell r="Q89" t="str">
            <v>Intermediate Class</v>
          </cell>
          <cell r="R89">
            <v>45152</v>
          </cell>
          <cell r="S89" t="str">
            <v>0300-28511580342-4957558</v>
          </cell>
          <cell r="T89" t="str">
            <v>Chak No58-15-L p-o chack no 59-15-L Tehsil Mian Channu</v>
          </cell>
          <cell r="U89" t="str">
            <v>Chak No58-15-L p-o chack no 59-15-L Tehsil Mian Channu</v>
          </cell>
          <cell r="V89">
            <v>43670</v>
          </cell>
        </row>
        <row r="90">
          <cell r="D90">
            <v>992</v>
          </cell>
          <cell r="E90" t="str">
            <v>Zahoor Abbas</v>
          </cell>
          <cell r="F90">
            <v>31168</v>
          </cell>
          <cell r="G90">
            <v>38918</v>
          </cell>
          <cell r="H90" t="str">
            <v>B.Sc</v>
          </cell>
          <cell r="I90" t="str">
            <v>Khanewal</v>
          </cell>
          <cell r="J90" t="str">
            <v>Mian Channu</v>
          </cell>
          <cell r="K90" t="str">
            <v>Chab Kalan</v>
          </cell>
          <cell r="L90" t="str">
            <v>PC-3, Multan</v>
          </cell>
          <cell r="M90">
            <v>44800</v>
          </cell>
          <cell r="N90" t="str">
            <v>PS Jahanian</v>
          </cell>
          <cell r="O90" t="str">
            <v>PS</v>
          </cell>
          <cell r="P90" t="str">
            <v>PS Sadar Khanewal</v>
          </cell>
          <cell r="Q90" t="str">
            <v>Moharir Chowki Nawan Chowk</v>
          </cell>
          <cell r="R90">
            <v>45176</v>
          </cell>
          <cell r="S90" t="str">
            <v>0301-6854881</v>
          </cell>
          <cell r="T90" t="str">
            <v>Chak No. 84-15-L PO khas Tehsil Mianchannu Distt khanewal</v>
          </cell>
          <cell r="U90" t="str">
            <v>Chak No. 84-15-L PO khas Tehsil Mianchannu Distt khanewal</v>
          </cell>
          <cell r="V90">
            <v>44009</v>
          </cell>
        </row>
        <row r="91">
          <cell r="D91">
            <v>838</v>
          </cell>
          <cell r="E91" t="str">
            <v>Sher Muhammad</v>
          </cell>
          <cell r="F91">
            <v>32126</v>
          </cell>
          <cell r="G91">
            <v>39910</v>
          </cell>
          <cell r="H91" t="str">
            <v>FA</v>
          </cell>
          <cell r="I91" t="str">
            <v>Khanewal</v>
          </cell>
          <cell r="J91" t="str">
            <v>Khanewal</v>
          </cell>
          <cell r="K91" t="str">
            <v>Makhdom pur</v>
          </cell>
          <cell r="L91" t="str">
            <v xml:space="preserve">CTD </v>
          </cell>
          <cell r="M91">
            <v>44058</v>
          </cell>
          <cell r="N91" t="str">
            <v>Police Line</v>
          </cell>
          <cell r="O91" t="str">
            <v>Guard</v>
          </cell>
          <cell r="P91" t="str">
            <v>Guard Circuit House Khanewal</v>
          </cell>
          <cell r="Q91" t="str">
            <v>Guard Duty</v>
          </cell>
          <cell r="R91">
            <v>44925</v>
          </cell>
          <cell r="S91" t="str">
            <v>0346-7166833</v>
          </cell>
          <cell r="T91" t="str">
            <v>Chak No.6-AH P-O Kabirwala Tehsil Khanewal</v>
          </cell>
          <cell r="U91" t="str">
            <v>Chak No.6-AH P-O Kabirwala Tehsil Khanewal</v>
          </cell>
          <cell r="V91">
            <v>44279</v>
          </cell>
        </row>
        <row r="92">
          <cell r="D92">
            <v>1203</v>
          </cell>
          <cell r="E92" t="str">
            <v>Sabir Hussain</v>
          </cell>
          <cell r="F92">
            <v>31152</v>
          </cell>
          <cell r="G92">
            <v>38912</v>
          </cell>
          <cell r="H92" t="str">
            <v>Matric</v>
          </cell>
          <cell r="I92" t="str">
            <v>Khanewal</v>
          </cell>
          <cell r="J92" t="str">
            <v>Khanewal</v>
          </cell>
          <cell r="K92" t="str">
            <v>City Khanewal</v>
          </cell>
          <cell r="L92" t="str">
            <v>--</v>
          </cell>
          <cell r="M92">
            <v>38912</v>
          </cell>
          <cell r="N92" t="str">
            <v>District Challan Clerk</v>
          </cell>
          <cell r="O92" t="str">
            <v>DPO Office</v>
          </cell>
          <cell r="P92" t="str">
            <v>Legal Branch Khanewal</v>
          </cell>
          <cell r="Q92" t="str">
            <v>Senior Naib Court</v>
          </cell>
          <cell r="R92">
            <v>44974</v>
          </cell>
          <cell r="S92" t="str">
            <v>0345-7395722</v>
          </cell>
          <cell r="T92" t="str">
            <v>Sabir Laj Near Sdiq Akbar House No.837 Colony No.3 Khanewal</v>
          </cell>
          <cell r="U92" t="str">
            <v>Sabir Laj Near Sdiq Akbar House No.837 Colony No.3 Khanewal</v>
          </cell>
          <cell r="V92">
            <v>44302</v>
          </cell>
        </row>
        <row r="93">
          <cell r="D93">
            <v>121</v>
          </cell>
          <cell r="E93" t="str">
            <v>Manzar Hussain</v>
          </cell>
          <cell r="F93">
            <v>28491</v>
          </cell>
          <cell r="G93">
            <v>36178</v>
          </cell>
          <cell r="H93" t="str">
            <v>BA</v>
          </cell>
          <cell r="I93" t="str">
            <v>Khanewal</v>
          </cell>
          <cell r="J93" t="str">
            <v>Kabirwala</v>
          </cell>
          <cell r="K93" t="str">
            <v>haveli koranga</v>
          </cell>
          <cell r="L93" t="str">
            <v xml:space="preserve">Training Branch </v>
          </cell>
          <cell r="M93">
            <v>43599</v>
          </cell>
          <cell r="N93" t="str">
            <v>Police Line</v>
          </cell>
          <cell r="O93" t="str">
            <v>Police Line</v>
          </cell>
          <cell r="P93" t="str">
            <v>Maddat Police Line</v>
          </cell>
          <cell r="Q93" t="str">
            <v>Moharir</v>
          </cell>
          <cell r="R93">
            <v>44957</v>
          </cell>
          <cell r="S93" t="str">
            <v>0300-0082914</v>
          </cell>
          <cell r="T93" t="str">
            <v>Post office Dharkhana, Chak No.17-D, Tehsil Kabirwala, District Khanewal</v>
          </cell>
          <cell r="U93" t="str">
            <v>Post office Dharkhana, Chak No.17-D, Tehsil Kabirwala, District Khanewal</v>
          </cell>
          <cell r="V93">
            <v>44305</v>
          </cell>
        </row>
        <row r="94">
          <cell r="D94">
            <v>57</v>
          </cell>
          <cell r="E94" t="str">
            <v>Muhammad Nawab</v>
          </cell>
          <cell r="F94">
            <v>32212</v>
          </cell>
          <cell r="G94">
            <v>38911</v>
          </cell>
          <cell r="H94" t="str">
            <v>BA</v>
          </cell>
          <cell r="I94" t="str">
            <v>Khanewal</v>
          </cell>
          <cell r="J94" t="str">
            <v>Kabirwala</v>
          </cell>
          <cell r="K94" t="str">
            <v>Haveli Koranga</v>
          </cell>
          <cell r="L94" t="str">
            <v>PC-3 Multan</v>
          </cell>
          <cell r="M94">
            <v>44075</v>
          </cell>
          <cell r="N94" t="str">
            <v>PS Sarai Sidhu</v>
          </cell>
          <cell r="O94" t="str">
            <v>PS</v>
          </cell>
          <cell r="P94" t="str">
            <v>PS Chab Kalan</v>
          </cell>
          <cell r="Q94" t="str">
            <v>Moharir</v>
          </cell>
          <cell r="R94">
            <v>45153</v>
          </cell>
          <cell r="S94" t="str">
            <v>0341-8681801</v>
          </cell>
          <cell r="T94" t="str">
            <v>Moza Kot Islam P-O Khas Tehsil Kabirwala Distt. Khanewal</v>
          </cell>
          <cell r="U94" t="str">
            <v>Moza Sikandar pur P-O Kot Islam Tehsil Kabirwala Distt. Khanewal</v>
          </cell>
          <cell r="V94">
            <v>44310</v>
          </cell>
        </row>
        <row r="95">
          <cell r="D95">
            <v>913</v>
          </cell>
          <cell r="E95" t="str">
            <v>Muhammad Yar</v>
          </cell>
          <cell r="F95">
            <v>28896</v>
          </cell>
          <cell r="G95">
            <v>36186</v>
          </cell>
          <cell r="H95" t="str">
            <v>BA</v>
          </cell>
          <cell r="I95" t="str">
            <v>Khanewal</v>
          </cell>
          <cell r="J95" t="str">
            <v>Kabirwala</v>
          </cell>
          <cell r="K95" t="str">
            <v>Sadar Kabirwala</v>
          </cell>
          <cell r="L95" t="str">
            <v>PC-3</v>
          </cell>
          <cell r="M95">
            <v>43858</v>
          </cell>
          <cell r="N95" t="str">
            <v>Guard DCO House Khanewal</v>
          </cell>
          <cell r="O95" t="str">
            <v>PS</v>
          </cell>
          <cell r="P95" t="str">
            <v>PS Adda 12 Meel</v>
          </cell>
          <cell r="Q95" t="str">
            <v>G.Duty</v>
          </cell>
          <cell r="R95">
            <v>44858</v>
          </cell>
          <cell r="S95" t="str">
            <v>0345-1374126</v>
          </cell>
          <cell r="T95" t="str">
            <v>Mohallah Muhammad Wala PO Chak Sher khan Tehsil Kabirwala</v>
          </cell>
          <cell r="U95" t="str">
            <v>Mohallah Muhammad Wala PO Chak Sher khan Tehsil Kabirwala</v>
          </cell>
          <cell r="V95">
            <v>44333</v>
          </cell>
        </row>
        <row r="96">
          <cell r="D96">
            <v>1255</v>
          </cell>
          <cell r="E96" t="str">
            <v xml:space="preserve">Abdul Shakoor </v>
          </cell>
          <cell r="F96">
            <v>30594</v>
          </cell>
          <cell r="G96">
            <v>38888</v>
          </cell>
          <cell r="H96" t="str">
            <v>BA</v>
          </cell>
          <cell r="I96" t="str">
            <v>Khanewal</v>
          </cell>
          <cell r="J96" t="str">
            <v>Mianchanu</v>
          </cell>
          <cell r="K96" t="str">
            <v>Tulamba</v>
          </cell>
          <cell r="L96" t="str">
            <v>--</v>
          </cell>
          <cell r="M96">
            <v>38918</v>
          </cell>
          <cell r="N96" t="str">
            <v>PS Chab Kalan</v>
          </cell>
          <cell r="O96" t="str">
            <v>Police Line</v>
          </cell>
          <cell r="P96" t="str">
            <v>Police Line</v>
          </cell>
          <cell r="Q96" t="str">
            <v>Intermediate Class</v>
          </cell>
          <cell r="R96">
            <v>45152</v>
          </cell>
          <cell r="S96" t="str">
            <v>0345-2163516</v>
          </cell>
          <cell r="T96" t="str">
            <v>Chak NO 20-8-R  p-o khas thsil Mian Channu</v>
          </cell>
          <cell r="U96" t="str">
            <v>Chak NO 20-8-R  p-o khas thsil Mian Channu</v>
          </cell>
          <cell r="V96">
            <v>44685</v>
          </cell>
        </row>
        <row r="97">
          <cell r="D97">
            <v>522</v>
          </cell>
          <cell r="E97" t="str">
            <v>Muhammad Amir</v>
          </cell>
          <cell r="F97">
            <v>29690</v>
          </cell>
          <cell r="G97">
            <v>38918</v>
          </cell>
          <cell r="H97" t="str">
            <v>B.Sc</v>
          </cell>
          <cell r="I97" t="str">
            <v>Khanewal</v>
          </cell>
          <cell r="J97" t="str">
            <v>Khanewal</v>
          </cell>
          <cell r="K97" t="str">
            <v>Makhdum pur</v>
          </cell>
          <cell r="L97" t="str">
            <v>promoted as HC</v>
          </cell>
          <cell r="M97">
            <v>44338</v>
          </cell>
          <cell r="N97" t="str">
            <v>Police Line</v>
          </cell>
          <cell r="O97" t="str">
            <v>PS</v>
          </cell>
          <cell r="P97" t="str">
            <v>PS City Khanewal</v>
          </cell>
          <cell r="Q97" t="str">
            <v>Comp. Opt</v>
          </cell>
          <cell r="R97">
            <v>45166</v>
          </cell>
          <cell r="S97" t="str">
            <v>0301-7209774</v>
          </cell>
          <cell r="T97" t="str">
            <v>Chak No 5-AH P-O Makhdumpur Tehsil &amp; Dist khanewal</v>
          </cell>
          <cell r="U97" t="str">
            <v>Chak No 5-AH P-O Makhdumpur Tehsil &amp; Dist khanewal</v>
          </cell>
          <cell r="V97">
            <v>44690</v>
          </cell>
        </row>
        <row r="98">
          <cell r="D98">
            <v>779</v>
          </cell>
          <cell r="E98" t="str">
            <v>Haqnawaz</v>
          </cell>
          <cell r="F98">
            <v>31129</v>
          </cell>
          <cell r="G98">
            <v>38884</v>
          </cell>
          <cell r="H98" t="str">
            <v>BA</v>
          </cell>
          <cell r="I98" t="str">
            <v>Khanewal</v>
          </cell>
          <cell r="J98" t="str">
            <v>Mian Channu</v>
          </cell>
          <cell r="K98" t="str">
            <v>Chab Kalan</v>
          </cell>
          <cell r="L98" t="str">
            <v>PC-3</v>
          </cell>
          <cell r="M98">
            <v>43582</v>
          </cell>
          <cell r="N98" t="str">
            <v>Police Line</v>
          </cell>
          <cell r="O98" t="str">
            <v>PS</v>
          </cell>
          <cell r="P98" t="str">
            <v>PS Abdul Hakim</v>
          </cell>
          <cell r="Q98" t="str">
            <v>Moharir</v>
          </cell>
          <cell r="R98">
            <v>44980</v>
          </cell>
          <cell r="S98" t="str">
            <v>0303-0540289</v>
          </cell>
          <cell r="T98" t="str">
            <v>Chak No. 89-15-L p-o Khas Chak no 64-15.l Tehsil Mianchanu</v>
          </cell>
          <cell r="U98" t="str">
            <v>Chak No. 89-15-L p-o Khas Chak no 64-15.l Tehsil Mianchanu</v>
          </cell>
          <cell r="V98">
            <v>44690</v>
          </cell>
        </row>
        <row r="99">
          <cell r="D99">
            <v>1081</v>
          </cell>
          <cell r="E99" t="str">
            <v>Abdul Hakim</v>
          </cell>
          <cell r="F99">
            <v>30072</v>
          </cell>
          <cell r="G99">
            <v>38918</v>
          </cell>
          <cell r="H99" t="str">
            <v>BA</v>
          </cell>
          <cell r="I99" t="str">
            <v>Khanewal</v>
          </cell>
          <cell r="J99" t="str">
            <v>Mianchanu</v>
          </cell>
          <cell r="K99" t="str">
            <v>Chahb Kalan</v>
          </cell>
          <cell r="L99" t="str">
            <v>PC-3 Multan</v>
          </cell>
          <cell r="M99">
            <v>44650</v>
          </cell>
          <cell r="N99" t="str">
            <v>NIU Circle Sadar Khanewal</v>
          </cell>
          <cell r="O99" t="str">
            <v>Police Line</v>
          </cell>
          <cell r="P99" t="str">
            <v>Police Line</v>
          </cell>
          <cell r="Q99" t="str">
            <v>Intermediate Class</v>
          </cell>
          <cell r="R99">
            <v>45152</v>
          </cell>
          <cell r="S99" t="str">
            <v>0345-3826553</v>
          </cell>
          <cell r="T99" t="str">
            <v>Chak No 81-15-L Tehsil Mian channu</v>
          </cell>
          <cell r="U99" t="str">
            <v>Chak No 81-15-L Tehsil Mian channu</v>
          </cell>
          <cell r="V99">
            <v>44748</v>
          </cell>
        </row>
        <row r="100">
          <cell r="D100">
            <v>605</v>
          </cell>
          <cell r="E100" t="str">
            <v>Muhammad pehlwan</v>
          </cell>
          <cell r="F100">
            <v>31375</v>
          </cell>
          <cell r="G100">
            <v>39910</v>
          </cell>
          <cell r="H100" t="str">
            <v>Matric</v>
          </cell>
          <cell r="I100" t="str">
            <v>Khanewal</v>
          </cell>
          <cell r="J100" t="str">
            <v>Kabirwala</v>
          </cell>
          <cell r="K100" t="str">
            <v>Sadar Kabirwala</v>
          </cell>
          <cell r="L100" t="str">
            <v>PC-3</v>
          </cell>
          <cell r="M100">
            <v>43942</v>
          </cell>
          <cell r="N100" t="str">
            <v>PS Nawan Shehr</v>
          </cell>
          <cell r="O100" t="str">
            <v>Guard</v>
          </cell>
          <cell r="P100" t="str">
            <v>Guard Session House Khanewal</v>
          </cell>
          <cell r="Q100" t="str">
            <v>Incharge</v>
          </cell>
          <cell r="R100">
            <v>45049</v>
          </cell>
          <cell r="S100" t="str">
            <v>0306-4902116</v>
          </cell>
          <cell r="T100" t="str">
            <v>Moza Korai Baloch Post  office Haji pur tehsil kabirwala</v>
          </cell>
          <cell r="U100" t="str">
            <v>Moza Korai Baloch Post  office Haji pur tehsil kabirwala</v>
          </cell>
          <cell r="V100">
            <v>44950</v>
          </cell>
        </row>
        <row r="101">
          <cell r="D101">
            <v>914</v>
          </cell>
          <cell r="E101" t="str">
            <v>Muhammad Din</v>
          </cell>
          <cell r="F101">
            <v>30781</v>
          </cell>
          <cell r="G101">
            <v>39910</v>
          </cell>
          <cell r="H101" t="str">
            <v>B.Sc</v>
          </cell>
          <cell r="I101" t="str">
            <v>Khanewal</v>
          </cell>
          <cell r="J101" t="str">
            <v>Khanewal</v>
          </cell>
          <cell r="K101" t="str">
            <v>City Khanewal</v>
          </cell>
          <cell r="L101" t="str">
            <v>PC-3 Multan</v>
          </cell>
          <cell r="M101">
            <v>44648</v>
          </cell>
          <cell r="N101" t="str">
            <v>First Reserve Police Line</v>
          </cell>
          <cell r="O101" t="str">
            <v>Guard</v>
          </cell>
          <cell r="P101" t="str">
            <v>Guard Dar-ul-Aman Khanewal</v>
          </cell>
          <cell r="Q101" t="str">
            <v>Guard Duty</v>
          </cell>
          <cell r="R101">
            <v>44950</v>
          </cell>
          <cell r="S101" t="str">
            <v>0307-7738309</v>
          </cell>
          <cell r="T101" t="str">
            <v>House No.119, Islam Pur Muhammadi chowk Khanewal</v>
          </cell>
          <cell r="U101" t="str">
            <v xml:space="preserve">House No.119, Islam Pur Muhammadi chowk Khanewal </v>
          </cell>
          <cell r="V101">
            <v>44950</v>
          </cell>
        </row>
        <row r="102">
          <cell r="D102">
            <v>428</v>
          </cell>
          <cell r="E102" t="str">
            <v>Qamis ul din</v>
          </cell>
          <cell r="F102">
            <v>30052</v>
          </cell>
          <cell r="G102">
            <v>38912</v>
          </cell>
          <cell r="H102" t="str">
            <v>MA</v>
          </cell>
          <cell r="I102" t="str">
            <v>Khanewal</v>
          </cell>
          <cell r="J102" t="str">
            <v>Khanewal</v>
          </cell>
          <cell r="K102" t="str">
            <v>Makhdom pur</v>
          </cell>
          <cell r="L102" t="str">
            <v>PC-3 Multan</v>
          </cell>
          <cell r="M102">
            <v>44575</v>
          </cell>
          <cell r="N102" t="str">
            <v>PS Kacha Khuh</v>
          </cell>
          <cell r="O102" t="str">
            <v>Police Line</v>
          </cell>
          <cell r="P102" t="str">
            <v>Police Line</v>
          </cell>
          <cell r="Q102" t="str">
            <v>Intermediate Class</v>
          </cell>
          <cell r="R102">
            <v>45152</v>
          </cell>
          <cell r="S102" t="str">
            <v>0300-8390631</v>
          </cell>
          <cell r="T102" t="str">
            <v xml:space="preserve"> STREET NO.10 Muhallah Haji Imam Din Makhdum Pur P-O KHAS TEHSIL KHANEWAL</v>
          </cell>
          <cell r="U102" t="str">
            <v xml:space="preserve"> STREET NO.10 Muhallah Haji Imam Din Makhdum Pur P-O KHAS TEHSIL KHANEWAL</v>
          </cell>
          <cell r="V102">
            <v>44950</v>
          </cell>
        </row>
        <row r="103">
          <cell r="D103">
            <v>1086</v>
          </cell>
          <cell r="E103" t="str">
            <v>Shahamand Khan</v>
          </cell>
          <cell r="F103">
            <v>29499</v>
          </cell>
          <cell r="G103">
            <v>36224</v>
          </cell>
          <cell r="H103" t="str">
            <v>Matric</v>
          </cell>
          <cell r="I103" t="str">
            <v>Khanewal</v>
          </cell>
          <cell r="J103" t="str">
            <v>Kabirwala</v>
          </cell>
          <cell r="K103" t="str">
            <v>Abdul Hakim</v>
          </cell>
          <cell r="L103" t="str">
            <v>PTC Lahore</v>
          </cell>
          <cell r="M103">
            <v>44687</v>
          </cell>
          <cell r="N103" t="str">
            <v>First Reserve Police Line</v>
          </cell>
          <cell r="O103" t="str">
            <v>PS</v>
          </cell>
          <cell r="P103" t="str">
            <v>PS Tulamba</v>
          </cell>
          <cell r="Q103" t="str">
            <v>G. Duty</v>
          </cell>
          <cell r="R103">
            <v>45171</v>
          </cell>
          <cell r="S103" t="str">
            <v>0302-8757986</v>
          </cell>
          <cell r="T103" t="str">
            <v>Chah Nawala, Goband Garh, Abdul Hakim, Tehsil Kabirwala, District Khanewal</v>
          </cell>
          <cell r="U103" t="str">
            <v>Chah Nawala, Goband Garh, Abdul Hakim, Tehsil Kabirwala, District Khanewal</v>
          </cell>
          <cell r="V103">
            <v>44966</v>
          </cell>
        </row>
        <row r="104">
          <cell r="D104">
            <v>362</v>
          </cell>
          <cell r="E104" t="str">
            <v>Maher Mehmood</v>
          </cell>
          <cell r="F104">
            <v>28590</v>
          </cell>
          <cell r="G104">
            <v>37139</v>
          </cell>
          <cell r="H104" t="str">
            <v>FA</v>
          </cell>
          <cell r="I104" t="str">
            <v>Khanewal</v>
          </cell>
          <cell r="J104" t="str">
            <v>Mian Channu</v>
          </cell>
          <cell r="K104" t="str">
            <v>Chab Kalan</v>
          </cell>
          <cell r="L104" t="str">
            <v>promoted as HC</v>
          </cell>
          <cell r="M104">
            <v>44866</v>
          </cell>
          <cell r="N104" t="str">
            <v>PS Kacha Khuh</v>
          </cell>
          <cell r="O104" t="str">
            <v>Escort DPO</v>
          </cell>
          <cell r="P104" t="str">
            <v>Escort DPO Khanewal</v>
          </cell>
          <cell r="Q104" t="str">
            <v>Second Incharge</v>
          </cell>
          <cell r="R104">
            <v>45112</v>
          </cell>
          <cell r="S104" t="str">
            <v>0301-7822689</v>
          </cell>
          <cell r="T104" t="str">
            <v>Chak No.89-15-L, Post office Chak No.64-15-L, Tehsil Mian Channu</v>
          </cell>
          <cell r="U104" t="str">
            <v>Chak No.89-15-L, Post office Chak No.64-15-L, Tehsil Mian Channu</v>
          </cell>
          <cell r="V104">
            <v>45078</v>
          </cell>
        </row>
        <row r="105">
          <cell r="D105">
            <v>58</v>
          </cell>
          <cell r="E105" t="str">
            <v>Muhammad Altaf</v>
          </cell>
          <cell r="F105">
            <v>28949</v>
          </cell>
          <cell r="G105">
            <v>36267</v>
          </cell>
          <cell r="H105" t="str">
            <v>FA</v>
          </cell>
          <cell r="I105" t="str">
            <v>Khanewal</v>
          </cell>
          <cell r="J105" t="str">
            <v>Khanewal</v>
          </cell>
          <cell r="K105" t="str">
            <v>Makhdoom Pur</v>
          </cell>
          <cell r="L105" t="str">
            <v>promoted as HC</v>
          </cell>
          <cell r="M105">
            <v>44866</v>
          </cell>
          <cell r="N105" t="str">
            <v>PS Sadar Kabirwala</v>
          </cell>
          <cell r="O105" t="str">
            <v>PS</v>
          </cell>
          <cell r="P105" t="str">
            <v>PS City Kabirwala</v>
          </cell>
          <cell r="Q105" t="str">
            <v>Moharir</v>
          </cell>
          <cell r="R105">
            <v>45110</v>
          </cell>
          <cell r="S105" t="str">
            <v>0300-8394501</v>
          </cell>
          <cell r="T105" t="str">
            <v>Chak No.12-AH, Tehsil &amp; District Khanewal</v>
          </cell>
          <cell r="U105" t="str">
            <v>Chak No.12-AH, Tehsil &amp; District Khanewal</v>
          </cell>
          <cell r="V105">
            <v>45078</v>
          </cell>
        </row>
        <row r="106">
          <cell r="D106">
            <v>95</v>
          </cell>
          <cell r="E106" t="str">
            <v>Mazhar Abbas</v>
          </cell>
          <cell r="F106">
            <v>29676</v>
          </cell>
          <cell r="G106">
            <v>38911</v>
          </cell>
          <cell r="H106" t="str">
            <v>BA</v>
          </cell>
          <cell r="I106" t="str">
            <v>Khanewal</v>
          </cell>
          <cell r="J106" t="str">
            <v>Kabirwala</v>
          </cell>
          <cell r="K106" t="str">
            <v>Sarai Sidhu</v>
          </cell>
          <cell r="L106" t="str">
            <v>--</v>
          </cell>
          <cell r="M106">
            <v>38912</v>
          </cell>
          <cell r="N106" t="str">
            <v>Second Reserve Police Line</v>
          </cell>
          <cell r="O106" t="str">
            <v>Guard</v>
          </cell>
          <cell r="P106" t="str">
            <v>Guard Darbar Abdul Hakim</v>
          </cell>
          <cell r="Q106" t="str">
            <v>Incharge</v>
          </cell>
          <cell r="R106">
            <v>45160</v>
          </cell>
          <cell r="S106" t="str">
            <v>0300-2032014</v>
          </cell>
          <cell r="T106" t="str">
            <v>Chah Kumharan Wala Barigh Sargana P-O Sarai Sidhu Tehsil Kabirwala</v>
          </cell>
          <cell r="U106" t="str">
            <v>Chah Kumharan Wala Barigh Sargana P-O Sarai Sidhu Tehsil Kabirwala</v>
          </cell>
          <cell r="V106">
            <v>45161</v>
          </cell>
        </row>
        <row r="107">
          <cell r="D107">
            <v>545</v>
          </cell>
          <cell r="E107" t="str">
            <v xml:space="preserve">Muhammad Amin </v>
          </cell>
          <cell r="F107">
            <v>31837</v>
          </cell>
          <cell r="G107">
            <v>38905</v>
          </cell>
          <cell r="H107" t="str">
            <v>FA</v>
          </cell>
          <cell r="I107" t="str">
            <v>Khanewal</v>
          </cell>
          <cell r="J107" t="str">
            <v>Khanewal</v>
          </cell>
          <cell r="K107" t="str">
            <v>Kacha Khuh</v>
          </cell>
          <cell r="L107" t="str">
            <v>promoted as HC</v>
          </cell>
          <cell r="M107">
            <v>44338</v>
          </cell>
          <cell r="N107" t="str">
            <v xml:space="preserve">Reader Branch </v>
          </cell>
          <cell r="O107" t="str">
            <v>Police Line</v>
          </cell>
          <cell r="P107" t="str">
            <v>Police Line</v>
          </cell>
          <cell r="Q107" t="str">
            <v>Close due to illness</v>
          </cell>
          <cell r="R107">
            <v>44974</v>
          </cell>
          <cell r="S107" t="str">
            <v>0301-7603017</v>
          </cell>
          <cell r="T107" t="str">
            <v>Gharbi Chak No.19-9-R P-O kacha khuh Tehsil &amp; Distt khanewal</v>
          </cell>
          <cell r="U107" t="str">
            <v>Gharbi Chak No.19-9-R P-O kacha khuh Tehsil &amp; Distt khanewal</v>
          </cell>
          <cell r="V107" t="str">
            <v>ILL Disable</v>
          </cell>
        </row>
        <row r="108">
          <cell r="D108">
            <v>1254</v>
          </cell>
          <cell r="E108" t="str">
            <v>Muhammad Arif</v>
          </cell>
          <cell r="F108">
            <v>33472</v>
          </cell>
          <cell r="G108">
            <v>40543</v>
          </cell>
          <cell r="H108" t="str">
            <v>BA</v>
          </cell>
          <cell r="I108" t="str">
            <v>Khanewal</v>
          </cell>
          <cell r="J108" t="str">
            <v>Khanewal</v>
          </cell>
          <cell r="K108" t="str">
            <v>City Khanewal</v>
          </cell>
          <cell r="L108" t="str">
            <v>promoted as HC</v>
          </cell>
          <cell r="M108">
            <v>45062</v>
          </cell>
          <cell r="N108" t="str">
            <v>Account Branch</v>
          </cell>
          <cell r="O108" t="str">
            <v>DPO Office</v>
          </cell>
          <cell r="P108" t="str">
            <v>Account Branch</v>
          </cell>
          <cell r="Q108" t="str">
            <v>Comp. Opt</v>
          </cell>
          <cell r="R108">
            <v>44868</v>
          </cell>
          <cell r="S108" t="str">
            <v>0313-6949677</v>
          </cell>
          <cell r="T108" t="str">
            <v>House No.231, Street No.2, Colony No.3, Khanewal</v>
          </cell>
          <cell r="U108" t="str">
            <v>House No.231, Street No.2, Colony No.3, Khanewal</v>
          </cell>
          <cell r="V108" t="str">
            <v>ILL Disable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3"/>
  <sheetViews>
    <sheetView tabSelected="1" topLeftCell="A160" workbookViewId="0">
      <selection activeCell="I162" sqref="I162"/>
    </sheetView>
  </sheetViews>
  <sheetFormatPr defaultRowHeight="15" x14ac:dyDescent="0.25"/>
  <cols>
    <col min="7" max="7" width="9.7109375" bestFit="1" customWidth="1"/>
  </cols>
  <sheetData>
    <row r="1" spans="1:40" x14ac:dyDescent="0.25">
      <c r="A1" t="s">
        <v>0</v>
      </c>
      <c r="R1" t="s">
        <v>1</v>
      </c>
    </row>
    <row r="2" spans="1:40" x14ac:dyDescent="0.25">
      <c r="Q2" t="s">
        <v>2</v>
      </c>
    </row>
    <row r="3" spans="1:40" ht="32.25" x14ac:dyDescent="0.5">
      <c r="C3" s="1" t="s">
        <v>3</v>
      </c>
    </row>
    <row r="4" spans="1:40" ht="60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/>
      <c r="AM4" s="2" t="s">
        <v>41</v>
      </c>
      <c r="AN4" s="2"/>
    </row>
    <row r="5" spans="1:40" ht="60" x14ac:dyDescent="0.25">
      <c r="A5" s="3">
        <v>1</v>
      </c>
      <c r="B5" s="3" t="s">
        <v>42</v>
      </c>
      <c r="C5" s="4" t="s">
        <v>1092</v>
      </c>
      <c r="D5" s="3" t="s">
        <v>1093</v>
      </c>
      <c r="E5" s="5" t="s">
        <v>43</v>
      </c>
      <c r="F5" s="6">
        <v>28127</v>
      </c>
      <c r="G5" s="6">
        <v>36267</v>
      </c>
      <c r="H5" s="3" t="s">
        <v>44</v>
      </c>
      <c r="I5" s="3" t="s">
        <v>45</v>
      </c>
      <c r="J5" s="3" t="s">
        <v>46</v>
      </c>
      <c r="K5" s="3" t="s">
        <v>46</v>
      </c>
      <c r="L5" s="5" t="s">
        <v>47</v>
      </c>
      <c r="M5" s="6">
        <v>45596</v>
      </c>
      <c r="N5" s="5" t="s">
        <v>48</v>
      </c>
      <c r="O5" s="3" t="s">
        <v>49</v>
      </c>
      <c r="P5" s="5" t="s">
        <v>50</v>
      </c>
      <c r="Q5" s="3" t="s">
        <v>51</v>
      </c>
      <c r="R5" s="6">
        <v>45596</v>
      </c>
      <c r="S5" s="5" t="s">
        <v>52</v>
      </c>
      <c r="T5" s="5" t="s">
        <v>53</v>
      </c>
      <c r="U5" s="5" t="s">
        <v>53</v>
      </c>
      <c r="V5" s="5">
        <v>42698</v>
      </c>
      <c r="W5" s="5">
        <v>42825</v>
      </c>
      <c r="X5" s="5" t="s">
        <v>54</v>
      </c>
      <c r="Y5" s="5" t="s">
        <v>55</v>
      </c>
      <c r="Z5" s="3" t="s">
        <v>56</v>
      </c>
      <c r="AA5" s="3" t="s">
        <v>57</v>
      </c>
      <c r="AB5" s="5" t="s">
        <v>58</v>
      </c>
      <c r="AC5" s="3">
        <v>30475923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ht="30" x14ac:dyDescent="0.25">
      <c r="A6" s="3">
        <v>2</v>
      </c>
      <c r="B6" s="3" t="s">
        <v>42</v>
      </c>
      <c r="C6" s="4" t="s">
        <v>59</v>
      </c>
      <c r="D6" s="3" t="s">
        <v>1304</v>
      </c>
      <c r="E6" s="5" t="s">
        <v>60</v>
      </c>
      <c r="F6" s="6">
        <v>31877</v>
      </c>
      <c r="G6" s="6">
        <v>38918</v>
      </c>
      <c r="H6" s="3" t="s">
        <v>61</v>
      </c>
      <c r="I6" s="3" t="s">
        <v>45</v>
      </c>
      <c r="J6" s="3" t="s">
        <v>62</v>
      </c>
      <c r="K6" s="3" t="s">
        <v>63</v>
      </c>
      <c r="L6" s="5" t="s">
        <v>64</v>
      </c>
      <c r="M6" s="6">
        <v>43665</v>
      </c>
      <c r="N6" s="5" t="s">
        <v>65</v>
      </c>
      <c r="O6" s="3" t="s">
        <v>66</v>
      </c>
      <c r="P6" s="5" t="s">
        <v>67</v>
      </c>
      <c r="Q6" s="3" t="s">
        <v>68</v>
      </c>
      <c r="R6" s="6">
        <v>45112</v>
      </c>
      <c r="S6" s="5" t="s">
        <v>69</v>
      </c>
      <c r="T6" s="5" t="s">
        <v>70</v>
      </c>
      <c r="U6" s="5" t="s">
        <v>70</v>
      </c>
      <c r="V6" s="5" t="s">
        <v>71</v>
      </c>
      <c r="W6" s="5" t="s">
        <v>71</v>
      </c>
      <c r="X6" s="5" t="s">
        <v>54</v>
      </c>
      <c r="Y6" s="5" t="s">
        <v>72</v>
      </c>
      <c r="Z6" s="3" t="s">
        <v>73</v>
      </c>
      <c r="AA6" s="3" t="s">
        <v>57</v>
      </c>
      <c r="AB6" s="5" t="s">
        <v>74</v>
      </c>
      <c r="AC6" s="3">
        <v>30475381</v>
      </c>
      <c r="AD6" s="5"/>
      <c r="AE6" s="5"/>
      <c r="AF6" s="5" t="s">
        <v>75</v>
      </c>
      <c r="AG6" s="5"/>
      <c r="AH6" s="5"/>
      <c r="AI6" s="5"/>
      <c r="AJ6" s="5"/>
      <c r="AK6" s="5"/>
      <c r="AL6" s="5"/>
      <c r="AM6" s="5"/>
      <c r="AN6" s="5"/>
    </row>
    <row r="7" spans="1:40" ht="60" x14ac:dyDescent="0.25">
      <c r="A7" s="3">
        <v>3</v>
      </c>
      <c r="B7" s="3" t="s">
        <v>42</v>
      </c>
      <c r="C7" s="4" t="s">
        <v>1094</v>
      </c>
      <c r="D7" s="3" t="s">
        <v>1095</v>
      </c>
      <c r="E7" s="5" t="s">
        <v>76</v>
      </c>
      <c r="F7" s="6">
        <v>26055</v>
      </c>
      <c r="G7" s="6">
        <v>32766</v>
      </c>
      <c r="H7" s="7" t="s">
        <v>77</v>
      </c>
      <c r="I7" s="3" t="s">
        <v>78</v>
      </c>
      <c r="J7" s="3" t="s">
        <v>78</v>
      </c>
      <c r="K7" s="3" t="s">
        <v>79</v>
      </c>
      <c r="L7" s="5" t="s">
        <v>80</v>
      </c>
      <c r="M7" s="6">
        <v>44835</v>
      </c>
      <c r="N7" s="5" t="s">
        <v>48</v>
      </c>
      <c r="O7" s="3" t="s">
        <v>49</v>
      </c>
      <c r="P7" s="5" t="s">
        <v>81</v>
      </c>
      <c r="Q7" s="7" t="s">
        <v>51</v>
      </c>
      <c r="R7" s="6">
        <v>45878</v>
      </c>
      <c r="S7" s="3" t="s">
        <v>82</v>
      </c>
      <c r="T7" s="5" t="s">
        <v>83</v>
      </c>
      <c r="U7" s="5" t="s">
        <v>83</v>
      </c>
      <c r="V7" s="5" t="s">
        <v>55</v>
      </c>
      <c r="W7" s="5" t="s">
        <v>55</v>
      </c>
      <c r="X7" s="5" t="s">
        <v>55</v>
      </c>
      <c r="Y7" s="5" t="s">
        <v>72</v>
      </c>
      <c r="Z7" s="3" t="s">
        <v>84</v>
      </c>
      <c r="AA7" s="3" t="s">
        <v>85</v>
      </c>
      <c r="AB7" s="5" t="s">
        <v>86</v>
      </c>
      <c r="AC7" s="3">
        <v>30965489</v>
      </c>
      <c r="AD7" s="5"/>
      <c r="AE7" s="5"/>
      <c r="AF7" s="5"/>
      <c r="AG7" s="5" t="s">
        <v>36</v>
      </c>
      <c r="AH7" s="5" t="s">
        <v>37</v>
      </c>
      <c r="AI7" s="5" t="s">
        <v>38</v>
      </c>
      <c r="AJ7" s="5" t="s">
        <v>39</v>
      </c>
      <c r="AK7" s="5" t="e">
        <f>VLOOKUP(Z7,[1]Sheet1!$B$2:$C$71,2,0)</f>
        <v>#N/A</v>
      </c>
      <c r="AL7" s="5"/>
      <c r="AM7" s="5"/>
      <c r="AN7" s="5"/>
    </row>
    <row r="8" spans="1:40" ht="45" x14ac:dyDescent="0.25">
      <c r="A8" s="3">
        <v>4</v>
      </c>
      <c r="B8" s="3" t="s">
        <v>42</v>
      </c>
      <c r="C8" s="4" t="s">
        <v>1096</v>
      </c>
      <c r="D8" s="3" t="s">
        <v>1097</v>
      </c>
      <c r="E8" s="5" t="s">
        <v>87</v>
      </c>
      <c r="F8" s="6">
        <v>28543</v>
      </c>
      <c r="G8" s="6">
        <v>36178</v>
      </c>
      <c r="H8" s="7" t="s">
        <v>88</v>
      </c>
      <c r="I8" s="3" t="s">
        <v>45</v>
      </c>
      <c r="J8" s="3" t="s">
        <v>45</v>
      </c>
      <c r="K8" s="3" t="s">
        <v>89</v>
      </c>
      <c r="L8" s="5" t="s">
        <v>90</v>
      </c>
      <c r="M8" s="6">
        <v>45897</v>
      </c>
      <c r="N8" s="5" t="s">
        <v>48</v>
      </c>
      <c r="O8" s="3" t="s">
        <v>49</v>
      </c>
      <c r="P8" s="5" t="s">
        <v>91</v>
      </c>
      <c r="Q8" s="7" t="s">
        <v>51</v>
      </c>
      <c r="R8" s="6">
        <v>45920</v>
      </c>
      <c r="S8" s="3" t="s">
        <v>92</v>
      </c>
      <c r="T8" s="5" t="s">
        <v>93</v>
      </c>
      <c r="U8" s="5" t="s">
        <v>93</v>
      </c>
      <c r="V8" s="5"/>
      <c r="W8" s="5"/>
      <c r="X8" s="5" t="s">
        <v>94</v>
      </c>
      <c r="Y8" s="5" t="s">
        <v>72</v>
      </c>
      <c r="Z8" s="3" t="s">
        <v>95</v>
      </c>
      <c r="AA8" s="3" t="s">
        <v>96</v>
      </c>
      <c r="AB8" s="5" t="s">
        <v>97</v>
      </c>
      <c r="AC8" s="3">
        <v>30476055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ht="45" x14ac:dyDescent="0.25">
      <c r="A9" s="3">
        <v>5</v>
      </c>
      <c r="B9" s="3" t="s">
        <v>42</v>
      </c>
      <c r="C9" s="4" t="s">
        <v>1098</v>
      </c>
      <c r="D9" s="3" t="s">
        <v>1099</v>
      </c>
      <c r="E9" s="5" t="s">
        <v>98</v>
      </c>
      <c r="F9" s="6">
        <v>26213</v>
      </c>
      <c r="G9" s="6">
        <v>34217</v>
      </c>
      <c r="H9" s="7" t="s">
        <v>99</v>
      </c>
      <c r="I9" s="3" t="s">
        <v>45</v>
      </c>
      <c r="J9" s="3" t="s">
        <v>45</v>
      </c>
      <c r="K9" s="3" t="s">
        <v>100</v>
      </c>
      <c r="L9" s="5" t="s">
        <v>90</v>
      </c>
      <c r="M9" s="6">
        <v>45897</v>
      </c>
      <c r="N9" s="5"/>
      <c r="O9" s="3" t="s">
        <v>48</v>
      </c>
      <c r="P9" s="5" t="s">
        <v>48</v>
      </c>
      <c r="Q9" s="7" t="s">
        <v>101</v>
      </c>
      <c r="R9" s="6">
        <v>45897</v>
      </c>
      <c r="S9" s="3" t="s">
        <v>102</v>
      </c>
      <c r="T9" s="5" t="s">
        <v>103</v>
      </c>
      <c r="U9" s="5" t="s">
        <v>103</v>
      </c>
      <c r="V9" s="5"/>
      <c r="W9" s="5"/>
      <c r="X9" s="5" t="s">
        <v>54</v>
      </c>
      <c r="Y9" s="5" t="s">
        <v>72</v>
      </c>
      <c r="Z9" s="3" t="s">
        <v>104</v>
      </c>
      <c r="AA9" s="3" t="s">
        <v>105</v>
      </c>
      <c r="AB9" s="5" t="s">
        <v>106</v>
      </c>
      <c r="AC9" s="3">
        <v>30475605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ht="75" x14ac:dyDescent="0.25">
      <c r="A10" s="3">
        <v>6</v>
      </c>
      <c r="B10" s="3" t="s">
        <v>42</v>
      </c>
      <c r="C10" s="4" t="s">
        <v>1100</v>
      </c>
      <c r="D10" s="3" t="s">
        <v>1101</v>
      </c>
      <c r="E10" s="5" t="s">
        <v>107</v>
      </c>
      <c r="F10" s="6">
        <v>28947</v>
      </c>
      <c r="G10" s="6">
        <v>37512</v>
      </c>
      <c r="H10" s="3" t="s">
        <v>44</v>
      </c>
      <c r="I10" s="3" t="s">
        <v>45</v>
      </c>
      <c r="J10" s="3" t="s">
        <v>108</v>
      </c>
      <c r="K10" s="3" t="s">
        <v>109</v>
      </c>
      <c r="L10" s="5" t="s">
        <v>110</v>
      </c>
      <c r="M10" s="6">
        <v>45575</v>
      </c>
      <c r="N10" s="5" t="s">
        <v>48</v>
      </c>
      <c r="O10" s="3" t="s">
        <v>49</v>
      </c>
      <c r="P10" s="5" t="s">
        <v>111</v>
      </c>
      <c r="Q10" s="3" t="s">
        <v>51</v>
      </c>
      <c r="R10" s="6">
        <v>45582</v>
      </c>
      <c r="S10" s="5" t="s">
        <v>112</v>
      </c>
      <c r="T10" s="5" t="s">
        <v>113</v>
      </c>
      <c r="U10" s="5" t="s">
        <v>113</v>
      </c>
      <c r="V10" s="5"/>
      <c r="W10" s="5"/>
      <c r="X10" s="5" t="s">
        <v>54</v>
      </c>
      <c r="Y10" s="5" t="s">
        <v>72</v>
      </c>
      <c r="Z10" s="3" t="s">
        <v>114</v>
      </c>
      <c r="AA10" s="3" t="s">
        <v>115</v>
      </c>
      <c r="AB10" s="5" t="s">
        <v>116</v>
      </c>
      <c r="AC10" s="3">
        <v>30214744</v>
      </c>
      <c r="AD10" s="5"/>
      <c r="AE10" s="5"/>
      <c r="AF10" s="5" t="s">
        <v>117</v>
      </c>
      <c r="AG10" s="5"/>
      <c r="AH10" s="5"/>
      <c r="AI10" s="5"/>
      <c r="AJ10" s="5"/>
      <c r="AK10" s="5"/>
      <c r="AL10" s="5"/>
      <c r="AM10" s="5"/>
      <c r="AN10" s="5"/>
    </row>
    <row r="11" spans="1:40" ht="60" x14ac:dyDescent="0.25">
      <c r="A11" s="3">
        <v>7</v>
      </c>
      <c r="B11" s="3" t="s">
        <v>42</v>
      </c>
      <c r="C11" s="4" t="s">
        <v>1102</v>
      </c>
      <c r="D11" s="3" t="s">
        <v>1103</v>
      </c>
      <c r="E11" s="5" t="s">
        <v>118</v>
      </c>
      <c r="F11" s="6">
        <v>29900</v>
      </c>
      <c r="G11" s="6">
        <v>37139</v>
      </c>
      <c r="H11" s="3" t="s">
        <v>44</v>
      </c>
      <c r="I11" s="3" t="s">
        <v>45</v>
      </c>
      <c r="J11" s="3" t="s">
        <v>119</v>
      </c>
      <c r="K11" s="3" t="s">
        <v>120</v>
      </c>
      <c r="L11" s="5" t="s">
        <v>55</v>
      </c>
      <c r="M11" s="6">
        <v>38891</v>
      </c>
      <c r="N11" s="5" t="s">
        <v>55</v>
      </c>
      <c r="O11" s="3" t="s">
        <v>121</v>
      </c>
      <c r="P11" s="5" t="s">
        <v>122</v>
      </c>
      <c r="Q11" s="3" t="s">
        <v>123</v>
      </c>
      <c r="R11" s="6">
        <v>38960</v>
      </c>
      <c r="S11" s="5" t="s">
        <v>124</v>
      </c>
      <c r="T11" s="5" t="s">
        <v>125</v>
      </c>
      <c r="U11" s="5" t="s">
        <v>125</v>
      </c>
      <c r="V11" s="5" t="s">
        <v>121</v>
      </c>
      <c r="W11" s="5" t="s">
        <v>121</v>
      </c>
      <c r="X11" s="5"/>
      <c r="Y11" s="5" t="s">
        <v>55</v>
      </c>
      <c r="Z11" s="3" t="s">
        <v>126</v>
      </c>
      <c r="AA11" s="3" t="s">
        <v>85</v>
      </c>
      <c r="AB11" s="5" t="s">
        <v>127</v>
      </c>
      <c r="AC11" s="3">
        <v>30475937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60" x14ac:dyDescent="0.25">
      <c r="A12" s="3">
        <v>8</v>
      </c>
      <c r="B12" s="3" t="s">
        <v>42</v>
      </c>
      <c r="C12" s="4" t="s">
        <v>1104</v>
      </c>
      <c r="D12" s="3" t="s">
        <v>1105</v>
      </c>
      <c r="E12" s="5" t="s">
        <v>128</v>
      </c>
      <c r="F12" s="6">
        <v>27891</v>
      </c>
      <c r="G12" s="6">
        <v>35607</v>
      </c>
      <c r="H12" s="3" t="s">
        <v>129</v>
      </c>
      <c r="I12" s="3" t="s">
        <v>45</v>
      </c>
      <c r="J12" s="3" t="s">
        <v>45</v>
      </c>
      <c r="K12" s="3" t="s">
        <v>89</v>
      </c>
      <c r="L12" s="5" t="s">
        <v>130</v>
      </c>
      <c r="M12" s="6">
        <v>44286</v>
      </c>
      <c r="N12" s="5" t="s">
        <v>111</v>
      </c>
      <c r="O12" s="3" t="s">
        <v>49</v>
      </c>
      <c r="P12" s="5" t="s">
        <v>131</v>
      </c>
      <c r="Q12" s="3" t="s">
        <v>51</v>
      </c>
      <c r="R12" s="6">
        <v>45634</v>
      </c>
      <c r="S12" s="5" t="s">
        <v>132</v>
      </c>
      <c r="T12" s="5" t="s">
        <v>133</v>
      </c>
      <c r="U12" s="5" t="s">
        <v>133</v>
      </c>
      <c r="V12" s="5">
        <v>39506</v>
      </c>
      <c r="W12" s="5">
        <v>42371</v>
      </c>
      <c r="X12" s="5"/>
      <c r="Y12" s="5" t="s">
        <v>55</v>
      </c>
      <c r="Z12" s="3" t="s">
        <v>134</v>
      </c>
      <c r="AA12" s="3" t="s">
        <v>115</v>
      </c>
      <c r="AB12" s="5" t="s">
        <v>135</v>
      </c>
      <c r="AC12" s="3">
        <v>30475782</v>
      </c>
      <c r="AD12" s="5"/>
      <c r="AE12" s="5"/>
      <c r="AF12" s="5"/>
      <c r="AG12" s="5" t="s">
        <v>36</v>
      </c>
      <c r="AH12" s="5"/>
      <c r="AI12" s="5"/>
      <c r="AJ12" s="5" t="s">
        <v>39</v>
      </c>
      <c r="AK12" s="5" t="s">
        <v>40</v>
      </c>
      <c r="AL12" s="5"/>
      <c r="AM12" s="5" t="s">
        <v>136</v>
      </c>
      <c r="AN12" s="5"/>
    </row>
    <row r="13" spans="1:40" ht="25.5" x14ac:dyDescent="0.25">
      <c r="A13" s="3">
        <v>9</v>
      </c>
      <c r="B13" s="3" t="s">
        <v>42</v>
      </c>
      <c r="C13" s="8" t="s">
        <v>1106</v>
      </c>
      <c r="D13" s="9" t="s">
        <v>1107</v>
      </c>
      <c r="E13" s="10" t="s">
        <v>137</v>
      </c>
      <c r="F13" s="11">
        <v>25936</v>
      </c>
      <c r="G13" s="11">
        <v>33485</v>
      </c>
      <c r="H13" s="12" t="s">
        <v>77</v>
      </c>
      <c r="I13" s="13" t="s">
        <v>45</v>
      </c>
      <c r="J13" s="14" t="s">
        <v>108</v>
      </c>
      <c r="K13" s="15" t="s">
        <v>138</v>
      </c>
      <c r="L13" s="16" t="s">
        <v>80</v>
      </c>
      <c r="M13" s="16">
        <v>45755</v>
      </c>
      <c r="N13" s="15" t="s">
        <v>48</v>
      </c>
      <c r="O13" s="17" t="s">
        <v>49</v>
      </c>
      <c r="P13" s="15" t="s">
        <v>139</v>
      </c>
      <c r="Q13" s="18" t="s">
        <v>51</v>
      </c>
      <c r="R13" s="19">
        <v>45755</v>
      </c>
      <c r="S13" s="20" t="s">
        <v>140</v>
      </c>
      <c r="T13" s="21" t="s">
        <v>141</v>
      </c>
      <c r="U13" s="21" t="s">
        <v>141</v>
      </c>
      <c r="V13" s="22" t="s">
        <v>55</v>
      </c>
      <c r="W13" s="23" t="s">
        <v>55</v>
      </c>
      <c r="X13" s="23"/>
      <c r="Y13" s="24" t="s">
        <v>55</v>
      </c>
      <c r="Z13" s="25" t="s">
        <v>142</v>
      </c>
      <c r="AA13" s="15" t="s">
        <v>85</v>
      </c>
      <c r="AB13" s="17" t="s">
        <v>143</v>
      </c>
      <c r="AC13" s="17">
        <v>30475451</v>
      </c>
      <c r="AD13" s="17"/>
      <c r="AE13" s="17"/>
      <c r="AF13" s="17">
        <v>642</v>
      </c>
      <c r="AG13" s="17"/>
      <c r="AH13" s="17"/>
      <c r="AI13" s="17"/>
      <c r="AJ13" s="26"/>
      <c r="AK13" s="26"/>
      <c r="AL13" s="17"/>
      <c r="AM13" s="27"/>
      <c r="AN13" s="28"/>
    </row>
    <row r="14" spans="1:40" ht="60" x14ac:dyDescent="0.25">
      <c r="A14" s="3">
        <v>10</v>
      </c>
      <c r="B14" s="3" t="s">
        <v>42</v>
      </c>
      <c r="C14" s="4" t="s">
        <v>1108</v>
      </c>
      <c r="D14" s="3" t="s">
        <v>1109</v>
      </c>
      <c r="E14" s="5" t="s">
        <v>144</v>
      </c>
      <c r="F14" s="6">
        <v>25874</v>
      </c>
      <c r="G14" s="6">
        <v>33962</v>
      </c>
      <c r="H14" s="3" t="s">
        <v>77</v>
      </c>
      <c r="I14" s="3" t="s">
        <v>145</v>
      </c>
      <c r="J14" s="3" t="s">
        <v>146</v>
      </c>
      <c r="K14" s="3" t="s">
        <v>147</v>
      </c>
      <c r="L14" s="5" t="s">
        <v>130</v>
      </c>
      <c r="M14" s="6">
        <v>45076</v>
      </c>
      <c r="N14" s="5" t="s">
        <v>148</v>
      </c>
      <c r="O14" s="3" t="s">
        <v>49</v>
      </c>
      <c r="P14" s="5" t="s">
        <v>65</v>
      </c>
      <c r="Q14" s="3" t="s">
        <v>51</v>
      </c>
      <c r="R14" s="6">
        <v>45608</v>
      </c>
      <c r="S14" s="5" t="s">
        <v>149</v>
      </c>
      <c r="T14" s="5" t="s">
        <v>150</v>
      </c>
      <c r="U14" s="5" t="s">
        <v>151</v>
      </c>
      <c r="V14" s="5">
        <v>41374</v>
      </c>
      <c r="W14" s="5">
        <v>42090</v>
      </c>
      <c r="X14" s="5"/>
      <c r="Y14" s="5" t="s">
        <v>55</v>
      </c>
      <c r="Z14" s="3" t="s">
        <v>152</v>
      </c>
      <c r="AA14" s="3" t="s">
        <v>57</v>
      </c>
      <c r="AB14" s="5" t="s">
        <v>153</v>
      </c>
      <c r="AC14" s="3">
        <v>30272020</v>
      </c>
      <c r="AD14" s="5"/>
      <c r="AE14" s="5"/>
      <c r="AF14" s="5" t="s">
        <v>154</v>
      </c>
      <c r="AG14" s="5" t="s">
        <v>36</v>
      </c>
      <c r="AH14" s="5"/>
      <c r="AI14" s="5" t="s">
        <v>38</v>
      </c>
      <c r="AJ14" s="5" t="s">
        <v>39</v>
      </c>
      <c r="AK14" s="5" t="s">
        <v>40</v>
      </c>
      <c r="AL14" s="5"/>
      <c r="AM14" s="5"/>
      <c r="AN14" s="5"/>
    </row>
    <row r="15" spans="1:40" ht="75" x14ac:dyDescent="0.25">
      <c r="A15" s="3">
        <v>11</v>
      </c>
      <c r="B15" s="3" t="s">
        <v>42</v>
      </c>
      <c r="C15" s="4" t="s">
        <v>1110</v>
      </c>
      <c r="D15" s="3" t="s">
        <v>1111</v>
      </c>
      <c r="E15" s="5" t="s">
        <v>155</v>
      </c>
      <c r="F15" s="6">
        <v>31413</v>
      </c>
      <c r="G15" s="6">
        <v>38911</v>
      </c>
      <c r="H15" s="3" t="s">
        <v>156</v>
      </c>
      <c r="I15" s="3" t="s">
        <v>45</v>
      </c>
      <c r="J15" s="3" t="s">
        <v>108</v>
      </c>
      <c r="K15" s="3" t="s">
        <v>109</v>
      </c>
      <c r="L15" s="5" t="s">
        <v>47</v>
      </c>
      <c r="M15" s="6">
        <v>45575</v>
      </c>
      <c r="N15" s="5" t="s">
        <v>157</v>
      </c>
      <c r="O15" s="3" t="s">
        <v>158</v>
      </c>
      <c r="P15" s="5" t="s">
        <v>159</v>
      </c>
      <c r="Q15" s="3" t="s">
        <v>160</v>
      </c>
      <c r="R15" s="6">
        <v>45804</v>
      </c>
      <c r="S15" s="5" t="s">
        <v>161</v>
      </c>
      <c r="T15" s="5" t="s">
        <v>162</v>
      </c>
      <c r="U15" s="5" t="s">
        <v>162</v>
      </c>
      <c r="V15" s="5">
        <v>39634</v>
      </c>
      <c r="W15" s="5">
        <v>40677</v>
      </c>
      <c r="X15" s="5" t="s">
        <v>45</v>
      </c>
      <c r="Y15" s="5" t="s">
        <v>55</v>
      </c>
      <c r="Z15" s="3" t="s">
        <v>163</v>
      </c>
      <c r="AA15" s="3" t="s">
        <v>85</v>
      </c>
      <c r="AB15" s="5" t="s">
        <v>164</v>
      </c>
      <c r="AC15" s="3">
        <v>30475884</v>
      </c>
      <c r="AD15" s="5"/>
      <c r="AE15" s="5" t="s">
        <v>165</v>
      </c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75" x14ac:dyDescent="0.25">
      <c r="A16" s="3">
        <v>12</v>
      </c>
      <c r="B16" s="3" t="s">
        <v>42</v>
      </c>
      <c r="C16" s="4" t="s">
        <v>1112</v>
      </c>
      <c r="D16" s="3" t="s">
        <v>1113</v>
      </c>
      <c r="E16" s="5" t="s">
        <v>166</v>
      </c>
      <c r="F16" s="6">
        <v>25934</v>
      </c>
      <c r="G16" s="6">
        <v>33162</v>
      </c>
      <c r="H16" s="3" t="s">
        <v>129</v>
      </c>
      <c r="I16" s="3" t="s">
        <v>45</v>
      </c>
      <c r="J16" s="3" t="s">
        <v>108</v>
      </c>
      <c r="K16" s="3" t="s">
        <v>167</v>
      </c>
      <c r="L16" s="5" t="s">
        <v>168</v>
      </c>
      <c r="M16" s="6">
        <v>45077</v>
      </c>
      <c r="N16" s="5" t="s">
        <v>48</v>
      </c>
      <c r="O16" s="3" t="s">
        <v>49</v>
      </c>
      <c r="P16" s="5" t="s">
        <v>169</v>
      </c>
      <c r="Q16" s="3" t="s">
        <v>51</v>
      </c>
      <c r="R16" s="6">
        <v>45785</v>
      </c>
      <c r="S16" s="5" t="s">
        <v>170</v>
      </c>
      <c r="T16" s="5" t="s">
        <v>171</v>
      </c>
      <c r="U16" s="5" t="s">
        <v>171</v>
      </c>
      <c r="V16" s="5" t="s">
        <v>71</v>
      </c>
      <c r="W16" s="5" t="s">
        <v>71</v>
      </c>
      <c r="X16" s="5"/>
      <c r="Y16" s="5" t="s">
        <v>172</v>
      </c>
      <c r="Z16" s="3" t="s">
        <v>173</v>
      </c>
      <c r="AA16" s="3" t="s">
        <v>115</v>
      </c>
      <c r="AB16" s="5" t="s">
        <v>127</v>
      </c>
      <c r="AC16" s="3">
        <v>30484198</v>
      </c>
      <c r="AD16" s="5"/>
      <c r="AE16" s="5"/>
      <c r="AF16" s="5"/>
      <c r="AG16" s="5" t="s">
        <v>37</v>
      </c>
      <c r="AH16" s="5"/>
      <c r="AI16" s="5" t="s">
        <v>38</v>
      </c>
      <c r="AJ16" s="5"/>
      <c r="AK16" s="5"/>
      <c r="AL16" s="5"/>
      <c r="AM16" s="5"/>
      <c r="AN16" s="5"/>
    </row>
    <row r="17" spans="1:40" ht="45" x14ac:dyDescent="0.25">
      <c r="A17" s="3">
        <v>13</v>
      </c>
      <c r="B17" s="3" t="s">
        <v>42</v>
      </c>
      <c r="C17" s="4" t="s">
        <v>174</v>
      </c>
      <c r="D17" s="3" t="s">
        <v>1305</v>
      </c>
      <c r="E17" s="5" t="s">
        <v>175</v>
      </c>
      <c r="F17" s="6">
        <v>30319</v>
      </c>
      <c r="G17" s="6">
        <v>38888</v>
      </c>
      <c r="H17" s="3" t="s">
        <v>44</v>
      </c>
      <c r="I17" s="3" t="s">
        <v>45</v>
      </c>
      <c r="J17" s="3" t="s">
        <v>119</v>
      </c>
      <c r="K17" s="3" t="s">
        <v>176</v>
      </c>
      <c r="L17" s="5" t="s">
        <v>130</v>
      </c>
      <c r="M17" s="6">
        <v>45750</v>
      </c>
      <c r="N17" s="5" t="s">
        <v>177</v>
      </c>
      <c r="O17" s="3" t="s">
        <v>49</v>
      </c>
      <c r="P17" s="5" t="s">
        <v>178</v>
      </c>
      <c r="Q17" s="3" t="s">
        <v>51</v>
      </c>
      <c r="R17" s="6">
        <v>45920</v>
      </c>
      <c r="S17" s="5" t="s">
        <v>179</v>
      </c>
      <c r="T17" s="5" t="s">
        <v>180</v>
      </c>
      <c r="U17" s="5" t="s">
        <v>180</v>
      </c>
      <c r="V17" s="5" t="s">
        <v>71</v>
      </c>
      <c r="W17" s="5">
        <v>42698</v>
      </c>
      <c r="X17" s="5" t="s">
        <v>45</v>
      </c>
      <c r="Y17" s="5" t="s">
        <v>55</v>
      </c>
      <c r="Z17" s="3" t="s">
        <v>181</v>
      </c>
      <c r="AA17" s="3" t="s">
        <v>57</v>
      </c>
      <c r="AB17" s="5" t="s">
        <v>182</v>
      </c>
      <c r="AC17" s="3">
        <v>30475778</v>
      </c>
      <c r="AD17" s="5"/>
      <c r="AE17" s="5"/>
      <c r="AF17" s="5" t="s">
        <v>183</v>
      </c>
      <c r="AG17" s="5"/>
      <c r="AH17" s="5"/>
      <c r="AI17" s="5"/>
      <c r="AJ17" s="5"/>
      <c r="AK17" s="5"/>
      <c r="AL17" s="5" t="s">
        <v>49</v>
      </c>
      <c r="AM17" s="5" t="e">
        <f>VLOOKUP(D17,'[2]PS+CIA'!$E$5:$R$263,2,0)</f>
        <v>#N/A</v>
      </c>
      <c r="AN17" s="5" t="s">
        <v>184</v>
      </c>
    </row>
    <row r="18" spans="1:40" ht="30" x14ac:dyDescent="0.25">
      <c r="A18" s="3">
        <v>14</v>
      </c>
      <c r="B18" s="3" t="s">
        <v>42</v>
      </c>
      <c r="C18" s="4" t="s">
        <v>185</v>
      </c>
      <c r="D18" s="3" t="s">
        <v>1306</v>
      </c>
      <c r="E18" s="5" t="s">
        <v>186</v>
      </c>
      <c r="F18" s="6">
        <v>31147</v>
      </c>
      <c r="G18" s="6">
        <v>38918</v>
      </c>
      <c r="H18" s="3" t="s">
        <v>129</v>
      </c>
      <c r="I18" s="3" t="s">
        <v>45</v>
      </c>
      <c r="J18" s="3" t="s">
        <v>45</v>
      </c>
      <c r="K18" s="3" t="s">
        <v>100</v>
      </c>
      <c r="L18" s="5" t="s">
        <v>55</v>
      </c>
      <c r="M18" s="6">
        <v>38918</v>
      </c>
      <c r="N18" s="5" t="s">
        <v>55</v>
      </c>
      <c r="O18" s="3" t="s">
        <v>121</v>
      </c>
      <c r="P18" s="5" t="s">
        <v>122</v>
      </c>
      <c r="Q18" s="3" t="s">
        <v>187</v>
      </c>
      <c r="R18" s="6">
        <v>41144</v>
      </c>
      <c r="S18" s="5" t="s">
        <v>188</v>
      </c>
      <c r="T18" s="5" t="s">
        <v>189</v>
      </c>
      <c r="U18" s="5" t="s">
        <v>189</v>
      </c>
      <c r="V18" s="5" t="s">
        <v>121</v>
      </c>
      <c r="W18" s="5" t="s">
        <v>121</v>
      </c>
      <c r="X18" s="5" t="s">
        <v>54</v>
      </c>
      <c r="Y18" s="5" t="s">
        <v>55</v>
      </c>
      <c r="Z18" s="3" t="s">
        <v>190</v>
      </c>
      <c r="AA18" s="3" t="s">
        <v>57</v>
      </c>
      <c r="AB18" s="5" t="s">
        <v>191</v>
      </c>
      <c r="AC18" s="3">
        <v>30475374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ht="60" x14ac:dyDescent="0.25">
      <c r="A19" s="3">
        <v>15</v>
      </c>
      <c r="B19" s="3" t="s">
        <v>42</v>
      </c>
      <c r="C19" s="4" t="s">
        <v>192</v>
      </c>
      <c r="D19" s="3" t="s">
        <v>1307</v>
      </c>
      <c r="E19" s="5" t="s">
        <v>193</v>
      </c>
      <c r="F19" s="6">
        <v>30949</v>
      </c>
      <c r="G19" s="6">
        <v>38875</v>
      </c>
      <c r="H19" s="3" t="s">
        <v>194</v>
      </c>
      <c r="I19" s="3" t="s">
        <v>45</v>
      </c>
      <c r="J19" s="3" t="s">
        <v>119</v>
      </c>
      <c r="K19" s="3" t="s">
        <v>195</v>
      </c>
      <c r="L19" s="5" t="s">
        <v>196</v>
      </c>
      <c r="M19" s="6">
        <v>43205</v>
      </c>
      <c r="N19" s="5" t="s">
        <v>65</v>
      </c>
      <c r="O19" s="3" t="s">
        <v>49</v>
      </c>
      <c r="P19" s="5" t="s">
        <v>197</v>
      </c>
      <c r="Q19" s="3" t="s">
        <v>51</v>
      </c>
      <c r="R19" s="6">
        <v>45608</v>
      </c>
      <c r="S19" s="5" t="s">
        <v>198</v>
      </c>
      <c r="T19" s="5" t="s">
        <v>199</v>
      </c>
      <c r="U19" s="5" t="s">
        <v>199</v>
      </c>
      <c r="V19" s="5">
        <v>43346</v>
      </c>
      <c r="W19" s="5" t="s">
        <v>71</v>
      </c>
      <c r="X19" s="5" t="s">
        <v>54</v>
      </c>
      <c r="Y19" s="5" t="s">
        <v>55</v>
      </c>
      <c r="Z19" s="3" t="s">
        <v>200</v>
      </c>
      <c r="AA19" s="3" t="s">
        <v>201</v>
      </c>
      <c r="AB19" s="5" t="s">
        <v>202</v>
      </c>
      <c r="AC19" s="3">
        <v>30475997</v>
      </c>
      <c r="AD19" s="5"/>
      <c r="AE19" s="5"/>
      <c r="AF19" s="5" t="s">
        <v>203</v>
      </c>
      <c r="AG19" s="5" t="s">
        <v>36</v>
      </c>
      <c r="AH19" s="5"/>
      <c r="AI19" s="5" t="s">
        <v>38</v>
      </c>
      <c r="AJ19" s="5"/>
      <c r="AK19" s="5"/>
      <c r="AL19" s="5">
        <v>45089</v>
      </c>
      <c r="AM19" s="5"/>
      <c r="AN19" s="5"/>
    </row>
    <row r="20" spans="1:40" ht="45" x14ac:dyDescent="0.25">
      <c r="A20" s="3">
        <v>16</v>
      </c>
      <c r="B20" s="3" t="s">
        <v>42</v>
      </c>
      <c r="C20" s="4" t="s">
        <v>204</v>
      </c>
      <c r="D20" s="3" t="s">
        <v>1308</v>
      </c>
      <c r="E20" s="5" t="s">
        <v>205</v>
      </c>
      <c r="F20" s="6">
        <v>28460</v>
      </c>
      <c r="G20" s="6">
        <v>37512</v>
      </c>
      <c r="H20" s="3" t="s">
        <v>129</v>
      </c>
      <c r="I20" s="3" t="s">
        <v>45</v>
      </c>
      <c r="J20" s="3" t="s">
        <v>108</v>
      </c>
      <c r="K20" s="3" t="s">
        <v>206</v>
      </c>
      <c r="L20" s="5" t="s">
        <v>90</v>
      </c>
      <c r="M20" s="6">
        <v>45306</v>
      </c>
      <c r="N20" s="5" t="s">
        <v>48</v>
      </c>
      <c r="O20" s="3" t="s">
        <v>49</v>
      </c>
      <c r="P20" s="5" t="s">
        <v>111</v>
      </c>
      <c r="Q20" s="3" t="s">
        <v>51</v>
      </c>
      <c r="R20" s="6">
        <v>45888</v>
      </c>
      <c r="S20" s="5" t="s">
        <v>207</v>
      </c>
      <c r="T20" s="5" t="s">
        <v>208</v>
      </c>
      <c r="U20" s="5" t="s">
        <v>208</v>
      </c>
      <c r="V20" s="5" t="s">
        <v>71</v>
      </c>
      <c r="W20" s="5" t="s">
        <v>71</v>
      </c>
      <c r="X20" s="5" t="s">
        <v>54</v>
      </c>
      <c r="Y20" s="5" t="s">
        <v>72</v>
      </c>
      <c r="Z20" s="3" t="s">
        <v>209</v>
      </c>
      <c r="AA20" s="3" t="s">
        <v>85</v>
      </c>
      <c r="AB20" s="5" t="s">
        <v>135</v>
      </c>
      <c r="AC20" s="3">
        <v>31080601</v>
      </c>
      <c r="AD20" s="5"/>
      <c r="AE20" s="5"/>
      <c r="AF20" s="5"/>
      <c r="AG20" s="5"/>
      <c r="AH20" s="5" t="s">
        <v>37</v>
      </c>
      <c r="AI20" s="5" t="s">
        <v>38</v>
      </c>
      <c r="AJ20" s="5"/>
      <c r="AK20" s="5"/>
      <c r="AL20" s="5"/>
      <c r="AM20" s="5"/>
      <c r="AN20" s="5"/>
    </row>
    <row r="21" spans="1:40" ht="30" x14ac:dyDescent="0.25">
      <c r="A21" s="3">
        <v>17</v>
      </c>
      <c r="B21" s="3" t="s">
        <v>42</v>
      </c>
      <c r="C21" s="4" t="s">
        <v>210</v>
      </c>
      <c r="D21" s="3" t="s">
        <v>1309</v>
      </c>
      <c r="E21" s="5" t="s">
        <v>211</v>
      </c>
      <c r="F21" s="6">
        <v>30764</v>
      </c>
      <c r="G21" s="6">
        <v>38857</v>
      </c>
      <c r="H21" s="3" t="s">
        <v>44</v>
      </c>
      <c r="I21" s="3" t="s">
        <v>212</v>
      </c>
      <c r="J21" s="3" t="s">
        <v>212</v>
      </c>
      <c r="K21" s="3" t="s">
        <v>212</v>
      </c>
      <c r="L21" s="5" t="s">
        <v>213</v>
      </c>
      <c r="M21" s="6">
        <v>45635</v>
      </c>
      <c r="N21" s="5" t="s">
        <v>214</v>
      </c>
      <c r="O21" s="3" t="s">
        <v>49</v>
      </c>
      <c r="P21" s="5" t="s">
        <v>178</v>
      </c>
      <c r="Q21" s="3" t="s">
        <v>51</v>
      </c>
      <c r="R21" s="6">
        <v>45729</v>
      </c>
      <c r="S21" s="5" t="s">
        <v>215</v>
      </c>
      <c r="T21" s="5" t="s">
        <v>216</v>
      </c>
      <c r="U21" s="5" t="s">
        <v>216</v>
      </c>
      <c r="V21" s="5" t="s">
        <v>71</v>
      </c>
      <c r="W21" s="5" t="s">
        <v>71</v>
      </c>
      <c r="X21" s="5" t="s">
        <v>212</v>
      </c>
      <c r="Y21" s="5" t="s">
        <v>72</v>
      </c>
      <c r="Z21" s="3" t="s">
        <v>217</v>
      </c>
      <c r="AA21" s="3" t="s">
        <v>85</v>
      </c>
      <c r="AB21" s="5" t="s">
        <v>143</v>
      </c>
      <c r="AC21" s="3">
        <v>31001144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ht="60" x14ac:dyDescent="0.25">
      <c r="A22" s="3">
        <v>18</v>
      </c>
      <c r="B22" s="3" t="s">
        <v>218</v>
      </c>
      <c r="C22" s="4" t="s">
        <v>1114</v>
      </c>
      <c r="D22" s="3" t="s">
        <v>1115</v>
      </c>
      <c r="E22" s="5" t="s">
        <v>219</v>
      </c>
      <c r="F22" s="6">
        <v>28612</v>
      </c>
      <c r="G22" s="6">
        <v>37509</v>
      </c>
      <c r="H22" s="3" t="s">
        <v>129</v>
      </c>
      <c r="I22" s="3" t="s">
        <v>45</v>
      </c>
      <c r="J22" s="3" t="s">
        <v>45</v>
      </c>
      <c r="K22" s="3" t="s">
        <v>220</v>
      </c>
      <c r="L22" s="5"/>
      <c r="M22" s="6">
        <v>37509</v>
      </c>
      <c r="N22" s="5" t="s">
        <v>91</v>
      </c>
      <c r="O22" s="3" t="s">
        <v>221</v>
      </c>
      <c r="P22" s="5" t="s">
        <v>222</v>
      </c>
      <c r="Q22" s="3" t="s">
        <v>223</v>
      </c>
      <c r="R22" s="6">
        <v>45735</v>
      </c>
      <c r="S22" s="5" t="s">
        <v>224</v>
      </c>
      <c r="T22" s="5" t="s">
        <v>225</v>
      </c>
      <c r="U22" s="5" t="s">
        <v>225</v>
      </c>
      <c r="V22" s="5" t="s">
        <v>226</v>
      </c>
      <c r="W22" s="5" t="s">
        <v>226</v>
      </c>
      <c r="X22" s="5"/>
      <c r="Y22" s="5" t="s">
        <v>55</v>
      </c>
      <c r="Z22" s="3" t="s">
        <v>227</v>
      </c>
      <c r="AA22" s="3" t="s">
        <v>57</v>
      </c>
      <c r="AB22" s="5" t="s">
        <v>228</v>
      </c>
      <c r="AC22" s="3">
        <v>30271123</v>
      </c>
      <c r="AD22" s="5"/>
      <c r="AE22" s="5"/>
      <c r="AF22" s="5"/>
      <c r="AG22" s="5"/>
      <c r="AH22" s="5"/>
      <c r="AI22" s="5"/>
      <c r="AJ22" s="5"/>
      <c r="AK22" s="5"/>
      <c r="AL22" s="5" t="s">
        <v>229</v>
      </c>
      <c r="AM22" s="5"/>
      <c r="AN22" s="5"/>
    </row>
    <row r="23" spans="1:40" ht="60" x14ac:dyDescent="0.25">
      <c r="A23" s="3">
        <v>19</v>
      </c>
      <c r="B23" s="3" t="s">
        <v>42</v>
      </c>
      <c r="C23" s="4" t="s">
        <v>1116</v>
      </c>
      <c r="D23" s="3" t="s">
        <v>1117</v>
      </c>
      <c r="E23" s="5" t="s">
        <v>230</v>
      </c>
      <c r="F23" s="6">
        <v>27884</v>
      </c>
      <c r="G23" s="6">
        <v>36267</v>
      </c>
      <c r="H23" s="3" t="s">
        <v>44</v>
      </c>
      <c r="I23" s="3" t="s">
        <v>45</v>
      </c>
      <c r="J23" s="3" t="s">
        <v>108</v>
      </c>
      <c r="K23" s="3" t="s">
        <v>231</v>
      </c>
      <c r="L23" s="5" t="s">
        <v>90</v>
      </c>
      <c r="M23" s="6">
        <v>45160</v>
      </c>
      <c r="N23" s="5" t="s">
        <v>232</v>
      </c>
      <c r="O23" s="3" t="s">
        <v>49</v>
      </c>
      <c r="P23" s="5" t="s">
        <v>139</v>
      </c>
      <c r="Q23" s="3" t="s">
        <v>51</v>
      </c>
      <c r="R23" s="6">
        <v>45627</v>
      </c>
      <c r="S23" s="5" t="s">
        <v>233</v>
      </c>
      <c r="T23" s="5" t="s">
        <v>234</v>
      </c>
      <c r="U23" s="5" t="s">
        <v>234</v>
      </c>
      <c r="V23" s="5">
        <v>43167</v>
      </c>
      <c r="W23" s="5">
        <v>41566</v>
      </c>
      <c r="X23" s="5" t="s">
        <v>45</v>
      </c>
      <c r="Y23" s="5" t="s">
        <v>55</v>
      </c>
      <c r="Z23" s="3" t="s">
        <v>235</v>
      </c>
      <c r="AA23" s="3" t="s">
        <v>85</v>
      </c>
      <c r="AB23" s="5" t="s">
        <v>236</v>
      </c>
      <c r="AC23" s="3">
        <v>30555268</v>
      </c>
      <c r="AD23" s="5"/>
      <c r="AE23" s="5"/>
      <c r="AF23" s="5" t="s">
        <v>237</v>
      </c>
      <c r="AG23" s="5" t="s">
        <v>36</v>
      </c>
      <c r="AH23" s="5"/>
      <c r="AI23" s="5" t="s">
        <v>38</v>
      </c>
      <c r="AJ23" s="5" t="s">
        <v>39</v>
      </c>
      <c r="AK23" s="5" t="s">
        <v>40</v>
      </c>
      <c r="AL23" s="5"/>
      <c r="AM23" s="5"/>
      <c r="AN23" s="5"/>
    </row>
    <row r="24" spans="1:40" ht="75" x14ac:dyDescent="0.25">
      <c r="A24" s="3">
        <v>20</v>
      </c>
      <c r="B24" s="3" t="s">
        <v>42</v>
      </c>
      <c r="C24" s="4" t="s">
        <v>1118</v>
      </c>
      <c r="D24" s="3" t="s">
        <v>1119</v>
      </c>
      <c r="E24" s="5" t="s">
        <v>238</v>
      </c>
      <c r="F24" s="6">
        <v>28976</v>
      </c>
      <c r="G24" s="6">
        <v>35866</v>
      </c>
      <c r="H24" s="3" t="s">
        <v>77</v>
      </c>
      <c r="I24" s="3" t="s">
        <v>78</v>
      </c>
      <c r="J24" s="3" t="s">
        <v>239</v>
      </c>
      <c r="K24" s="3" t="s">
        <v>240</v>
      </c>
      <c r="L24" s="5" t="s">
        <v>241</v>
      </c>
      <c r="M24" s="6">
        <v>45166</v>
      </c>
      <c r="N24" s="5" t="s">
        <v>242</v>
      </c>
      <c r="O24" s="3" t="s">
        <v>49</v>
      </c>
      <c r="P24" s="5" t="s">
        <v>81</v>
      </c>
      <c r="Q24" s="3" t="s">
        <v>51</v>
      </c>
      <c r="R24" s="6">
        <v>45891</v>
      </c>
      <c r="S24" s="5" t="s">
        <v>243</v>
      </c>
      <c r="T24" s="5" t="s">
        <v>244</v>
      </c>
      <c r="U24" s="5" t="s">
        <v>244</v>
      </c>
      <c r="V24" s="5">
        <v>36963</v>
      </c>
      <c r="W24" s="5">
        <v>43048</v>
      </c>
      <c r="X24" s="5"/>
      <c r="Y24" s="5" t="s">
        <v>55</v>
      </c>
      <c r="Z24" s="3" t="s">
        <v>245</v>
      </c>
      <c r="AA24" s="3" t="s">
        <v>105</v>
      </c>
      <c r="AB24" s="5" t="s">
        <v>86</v>
      </c>
      <c r="AC24" s="3">
        <v>30282588</v>
      </c>
      <c r="AD24" s="5"/>
      <c r="AE24" s="5"/>
      <c r="AF24" s="5"/>
      <c r="AG24" s="5" t="s">
        <v>246</v>
      </c>
      <c r="AH24" s="5" t="s">
        <v>37</v>
      </c>
      <c r="AI24" s="5" t="s">
        <v>38</v>
      </c>
      <c r="AJ24" s="5"/>
      <c r="AK24" s="5"/>
      <c r="AL24" s="5"/>
      <c r="AM24" s="5"/>
      <c r="AN24" s="5"/>
    </row>
    <row r="25" spans="1:40" ht="60" x14ac:dyDescent="0.25">
      <c r="A25" s="3">
        <v>21</v>
      </c>
      <c r="B25" s="3" t="s">
        <v>42</v>
      </c>
      <c r="C25" s="4" t="s">
        <v>247</v>
      </c>
      <c r="D25" s="3" t="s">
        <v>1310</v>
      </c>
      <c r="E25" s="5" t="s">
        <v>248</v>
      </c>
      <c r="F25" s="6">
        <v>31291</v>
      </c>
      <c r="G25" s="6">
        <v>38848</v>
      </c>
      <c r="H25" s="3" t="s">
        <v>44</v>
      </c>
      <c r="I25" s="3" t="s">
        <v>78</v>
      </c>
      <c r="J25" s="3" t="s">
        <v>239</v>
      </c>
      <c r="K25" s="3" t="s">
        <v>249</v>
      </c>
      <c r="L25" s="5" t="s">
        <v>90</v>
      </c>
      <c r="M25" s="6">
        <v>45762</v>
      </c>
      <c r="N25" s="5" t="s">
        <v>250</v>
      </c>
      <c r="O25" s="3" t="s">
        <v>48</v>
      </c>
      <c r="P25" s="5" t="s">
        <v>48</v>
      </c>
      <c r="Q25" s="3" t="s">
        <v>251</v>
      </c>
      <c r="R25" s="6">
        <v>45836</v>
      </c>
      <c r="S25" s="5" t="s">
        <v>252</v>
      </c>
      <c r="T25" s="5" t="s">
        <v>253</v>
      </c>
      <c r="U25" s="5" t="s">
        <v>253</v>
      </c>
      <c r="V25" s="5"/>
      <c r="W25" s="5"/>
      <c r="X25" s="5"/>
      <c r="Y25" s="5" t="s">
        <v>72</v>
      </c>
      <c r="Z25" s="3" t="s">
        <v>254</v>
      </c>
      <c r="AA25" s="3" t="s">
        <v>85</v>
      </c>
      <c r="AB25" s="5" t="s">
        <v>255</v>
      </c>
      <c r="AC25" s="3">
        <v>30936095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ht="30" x14ac:dyDescent="0.25">
      <c r="A26" s="3">
        <v>22</v>
      </c>
      <c r="B26" s="3" t="s">
        <v>42</v>
      </c>
      <c r="C26" s="4" t="s">
        <v>256</v>
      </c>
      <c r="D26" s="3" t="s">
        <v>1311</v>
      </c>
      <c r="E26" s="5" t="s">
        <v>257</v>
      </c>
      <c r="F26" s="6">
        <v>31413</v>
      </c>
      <c r="G26" s="6">
        <v>38912</v>
      </c>
      <c r="H26" s="3" t="s">
        <v>129</v>
      </c>
      <c r="I26" s="3" t="s">
        <v>45</v>
      </c>
      <c r="J26" s="3" t="s">
        <v>119</v>
      </c>
      <c r="K26" s="3" t="s">
        <v>258</v>
      </c>
      <c r="L26" s="5" t="s">
        <v>130</v>
      </c>
      <c r="M26" s="6">
        <v>45617</v>
      </c>
      <c r="N26" s="5" t="s">
        <v>81</v>
      </c>
      <c r="O26" s="3" t="s">
        <v>48</v>
      </c>
      <c r="P26" s="5" t="s">
        <v>48</v>
      </c>
      <c r="Q26" s="3" t="s">
        <v>251</v>
      </c>
      <c r="R26" s="6">
        <v>45836</v>
      </c>
      <c r="S26" s="5" t="s">
        <v>259</v>
      </c>
      <c r="T26" s="5" t="s">
        <v>260</v>
      </c>
      <c r="U26" s="5" t="s">
        <v>260</v>
      </c>
      <c r="V26" s="5">
        <v>43355</v>
      </c>
      <c r="W26" s="5" t="s">
        <v>261</v>
      </c>
      <c r="X26" s="5" t="s">
        <v>45</v>
      </c>
      <c r="Y26" s="5" t="s">
        <v>72</v>
      </c>
      <c r="Z26" s="3" t="s">
        <v>262</v>
      </c>
      <c r="AA26" s="3" t="s">
        <v>57</v>
      </c>
      <c r="AB26" s="5" t="s">
        <v>263</v>
      </c>
      <c r="AC26" s="3">
        <v>30475965</v>
      </c>
      <c r="AD26" s="5"/>
      <c r="AE26" s="5"/>
      <c r="AF26" s="5" t="s">
        <v>264</v>
      </c>
      <c r="AG26" s="5" t="s">
        <v>265</v>
      </c>
      <c r="AH26" s="5">
        <v>43346</v>
      </c>
      <c r="AI26" s="5"/>
      <c r="AJ26" s="5"/>
      <c r="AK26" s="5"/>
      <c r="AL26" s="5" t="s">
        <v>49</v>
      </c>
      <c r="AM26" s="5" t="e">
        <f>VLOOKUP(D26,'[2]PS+CIA'!$E$5:$R$263,2,0)</f>
        <v>#N/A</v>
      </c>
      <c r="AN26" s="5" t="s">
        <v>101</v>
      </c>
    </row>
    <row r="27" spans="1:40" ht="75" x14ac:dyDescent="0.25">
      <c r="A27" s="3">
        <v>23</v>
      </c>
      <c r="B27" s="3" t="s">
        <v>42</v>
      </c>
      <c r="C27" s="4" t="s">
        <v>1120</v>
      </c>
      <c r="D27" s="3" t="s">
        <v>1121</v>
      </c>
      <c r="E27" s="5" t="s">
        <v>266</v>
      </c>
      <c r="F27" s="6">
        <v>29298</v>
      </c>
      <c r="G27" s="6">
        <v>36269</v>
      </c>
      <c r="H27" s="3" t="s">
        <v>77</v>
      </c>
      <c r="I27" s="3" t="s">
        <v>45</v>
      </c>
      <c r="J27" s="3" t="s">
        <v>45</v>
      </c>
      <c r="K27" s="3" t="s">
        <v>267</v>
      </c>
      <c r="L27" s="5"/>
      <c r="M27" s="6">
        <v>40573</v>
      </c>
      <c r="N27" s="5" t="s">
        <v>268</v>
      </c>
      <c r="O27" s="3" t="s">
        <v>121</v>
      </c>
      <c r="P27" s="5" t="s">
        <v>122</v>
      </c>
      <c r="Q27" s="3" t="s">
        <v>123</v>
      </c>
      <c r="R27" s="6">
        <v>45162</v>
      </c>
      <c r="S27" s="5" t="s">
        <v>269</v>
      </c>
      <c r="T27" s="5" t="s">
        <v>270</v>
      </c>
      <c r="U27" s="5" t="s">
        <v>271</v>
      </c>
      <c r="V27" s="5">
        <v>44764</v>
      </c>
      <c r="W27" s="5" t="s">
        <v>71</v>
      </c>
      <c r="X27" s="5"/>
      <c r="Y27" s="5" t="s">
        <v>55</v>
      </c>
      <c r="Z27" s="3" t="s">
        <v>272</v>
      </c>
      <c r="AA27" s="3" t="s">
        <v>85</v>
      </c>
      <c r="AB27" s="5" t="s">
        <v>273</v>
      </c>
      <c r="AC27" s="3">
        <v>30880620</v>
      </c>
      <c r="AD27" s="5" t="s">
        <v>274</v>
      </c>
      <c r="AE27" s="5"/>
      <c r="AF27" s="5"/>
      <c r="AG27" s="5"/>
      <c r="AH27" s="5"/>
      <c r="AI27" s="5"/>
      <c r="AJ27" s="5"/>
      <c r="AK27" s="5"/>
      <c r="AL27" s="5">
        <v>45058</v>
      </c>
      <c r="AM27" s="5"/>
      <c r="AN27" s="5"/>
    </row>
    <row r="28" spans="1:40" ht="60" x14ac:dyDescent="0.25">
      <c r="A28" s="3">
        <v>24</v>
      </c>
      <c r="B28" s="3" t="s">
        <v>42</v>
      </c>
      <c r="C28" s="4" t="s">
        <v>1122</v>
      </c>
      <c r="D28" s="3" t="s">
        <v>1123</v>
      </c>
      <c r="E28" s="5" t="s">
        <v>275</v>
      </c>
      <c r="F28" s="6">
        <v>25988</v>
      </c>
      <c r="G28" s="6">
        <v>32973</v>
      </c>
      <c r="H28" s="3" t="s">
        <v>129</v>
      </c>
      <c r="I28" s="3" t="s">
        <v>45</v>
      </c>
      <c r="J28" s="3" t="s">
        <v>108</v>
      </c>
      <c r="K28" s="3" t="s">
        <v>276</v>
      </c>
      <c r="L28" s="5" t="s">
        <v>277</v>
      </c>
      <c r="M28" s="6">
        <v>45240</v>
      </c>
      <c r="N28" s="5" t="s">
        <v>148</v>
      </c>
      <c r="O28" s="3" t="s">
        <v>49</v>
      </c>
      <c r="P28" s="5" t="s">
        <v>250</v>
      </c>
      <c r="Q28" s="3" t="s">
        <v>51</v>
      </c>
      <c r="R28" s="6">
        <v>45641</v>
      </c>
      <c r="S28" s="5" t="s">
        <v>278</v>
      </c>
      <c r="T28" s="5" t="s">
        <v>279</v>
      </c>
      <c r="U28" s="5" t="s">
        <v>279</v>
      </c>
      <c r="V28" s="5" t="s">
        <v>55</v>
      </c>
      <c r="W28" s="5" t="s">
        <v>55</v>
      </c>
      <c r="X28" s="5"/>
      <c r="Y28" s="5" t="s">
        <v>55</v>
      </c>
      <c r="Z28" s="3" t="s">
        <v>280</v>
      </c>
      <c r="AA28" s="3" t="s">
        <v>57</v>
      </c>
      <c r="AB28" s="5" t="s">
        <v>281</v>
      </c>
      <c r="AC28" s="3">
        <v>30475347</v>
      </c>
      <c r="AD28" s="5"/>
      <c r="AE28" s="5"/>
      <c r="AF28" s="5">
        <v>669</v>
      </c>
      <c r="AG28" s="5" t="s">
        <v>36</v>
      </c>
      <c r="AH28" s="5"/>
      <c r="AI28" s="5"/>
      <c r="AJ28" s="5"/>
      <c r="AK28" s="5"/>
      <c r="AL28" s="5"/>
      <c r="AM28" s="5"/>
      <c r="AN28" s="5"/>
    </row>
    <row r="29" spans="1:40" ht="60" x14ac:dyDescent="0.25">
      <c r="A29" s="3">
        <v>25</v>
      </c>
      <c r="B29" s="3" t="s">
        <v>42</v>
      </c>
      <c r="C29" s="4" t="s">
        <v>1124</v>
      </c>
      <c r="D29" s="3" t="s">
        <v>1107</v>
      </c>
      <c r="E29" s="5" t="s">
        <v>282</v>
      </c>
      <c r="F29" s="6">
        <v>24596</v>
      </c>
      <c r="G29" s="6">
        <v>32918</v>
      </c>
      <c r="H29" s="3" t="s">
        <v>77</v>
      </c>
      <c r="I29" s="3" t="s">
        <v>45</v>
      </c>
      <c r="J29" s="3" t="s">
        <v>108</v>
      </c>
      <c r="K29" s="3" t="s">
        <v>206</v>
      </c>
      <c r="L29" s="5" t="s">
        <v>283</v>
      </c>
      <c r="M29" s="6">
        <v>45542</v>
      </c>
      <c r="N29" s="5" t="s">
        <v>65</v>
      </c>
      <c r="O29" s="3" t="s">
        <v>284</v>
      </c>
      <c r="P29" s="29" t="s">
        <v>285</v>
      </c>
      <c r="Q29" s="30" t="s">
        <v>285</v>
      </c>
      <c r="R29" s="6">
        <v>45682</v>
      </c>
      <c r="S29" s="5" t="s">
        <v>286</v>
      </c>
      <c r="T29" s="5" t="s">
        <v>287</v>
      </c>
      <c r="U29" s="5" t="s">
        <v>288</v>
      </c>
      <c r="V29" s="5" t="s">
        <v>55</v>
      </c>
      <c r="W29" s="5" t="s">
        <v>55</v>
      </c>
      <c r="X29" s="5" t="s">
        <v>55</v>
      </c>
      <c r="Y29" s="5" t="s">
        <v>72</v>
      </c>
      <c r="Z29" s="3" t="s">
        <v>289</v>
      </c>
      <c r="AA29" s="3" t="s">
        <v>85</v>
      </c>
      <c r="AB29" s="5" t="s">
        <v>290</v>
      </c>
      <c r="AC29" s="3">
        <v>30274813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75" x14ac:dyDescent="0.25">
      <c r="A30" s="3">
        <v>26</v>
      </c>
      <c r="B30" s="3" t="s">
        <v>42</v>
      </c>
      <c r="C30" s="4" t="s">
        <v>1125</v>
      </c>
      <c r="D30" s="3" t="s">
        <v>1126</v>
      </c>
      <c r="E30" s="5" t="s">
        <v>291</v>
      </c>
      <c r="F30" s="6">
        <v>29244</v>
      </c>
      <c r="G30" s="6">
        <v>37139</v>
      </c>
      <c r="H30" s="3" t="s">
        <v>44</v>
      </c>
      <c r="I30" s="3" t="s">
        <v>45</v>
      </c>
      <c r="J30" s="3" t="s">
        <v>45</v>
      </c>
      <c r="K30" s="3" t="s">
        <v>267</v>
      </c>
      <c r="L30" s="5"/>
      <c r="M30" s="6">
        <v>38912</v>
      </c>
      <c r="N30" s="5" t="s">
        <v>48</v>
      </c>
      <c r="O30" s="3" t="s">
        <v>121</v>
      </c>
      <c r="P30" s="5" t="s">
        <v>122</v>
      </c>
      <c r="Q30" s="3" t="s">
        <v>123</v>
      </c>
      <c r="R30" s="6">
        <v>45162</v>
      </c>
      <c r="S30" s="5" t="s">
        <v>292</v>
      </c>
      <c r="T30" s="5" t="s">
        <v>293</v>
      </c>
      <c r="U30" s="5" t="s">
        <v>293</v>
      </c>
      <c r="V30" s="5" t="s">
        <v>71</v>
      </c>
      <c r="W30" s="5" t="s">
        <v>261</v>
      </c>
      <c r="X30" s="5"/>
      <c r="Y30" s="5" t="s">
        <v>55</v>
      </c>
      <c r="Z30" s="3" t="s">
        <v>294</v>
      </c>
      <c r="AA30" s="3" t="s">
        <v>85</v>
      </c>
      <c r="AB30" s="5" t="s">
        <v>164</v>
      </c>
      <c r="AC30" s="3">
        <v>30475691</v>
      </c>
      <c r="AD30" s="5" t="s">
        <v>274</v>
      </c>
      <c r="AE30" s="5"/>
      <c r="AF30" s="5"/>
      <c r="AG30" s="5"/>
      <c r="AH30" s="5"/>
      <c r="AI30" s="5"/>
      <c r="AJ30" s="5"/>
      <c r="AK30" s="5"/>
      <c r="AL30" s="5">
        <v>45058</v>
      </c>
      <c r="AM30" s="5"/>
      <c r="AN30" s="5"/>
    </row>
    <row r="31" spans="1:40" ht="45" x14ac:dyDescent="0.25">
      <c r="A31" s="3">
        <v>27</v>
      </c>
      <c r="B31" s="3" t="s">
        <v>42</v>
      </c>
      <c r="C31" s="4" t="s">
        <v>1127</v>
      </c>
      <c r="D31" s="3" t="s">
        <v>1128</v>
      </c>
      <c r="E31" s="5" t="s">
        <v>295</v>
      </c>
      <c r="F31" s="6">
        <v>24929</v>
      </c>
      <c r="G31" s="6">
        <v>33631</v>
      </c>
      <c r="H31" s="3" t="s">
        <v>77</v>
      </c>
      <c r="I31" s="3" t="s">
        <v>45</v>
      </c>
      <c r="J31" s="3" t="s">
        <v>108</v>
      </c>
      <c r="K31" s="3" t="s">
        <v>167</v>
      </c>
      <c r="L31" s="5" t="s">
        <v>90</v>
      </c>
      <c r="M31" s="6">
        <v>45163</v>
      </c>
      <c r="N31" s="5" t="s">
        <v>296</v>
      </c>
      <c r="O31" s="3" t="s">
        <v>49</v>
      </c>
      <c r="P31" s="5" t="s">
        <v>242</v>
      </c>
      <c r="Q31" s="3" t="s">
        <v>51</v>
      </c>
      <c r="R31" s="6">
        <v>45891</v>
      </c>
      <c r="S31" s="5" t="s">
        <v>297</v>
      </c>
      <c r="T31" s="5" t="s">
        <v>298</v>
      </c>
      <c r="U31" s="5" t="s">
        <v>299</v>
      </c>
      <c r="V31" s="5"/>
      <c r="W31" s="5"/>
      <c r="X31" s="5" t="s">
        <v>300</v>
      </c>
      <c r="Y31" s="5" t="s">
        <v>72</v>
      </c>
      <c r="Z31" s="3" t="s">
        <v>301</v>
      </c>
      <c r="AA31" s="3" t="s">
        <v>85</v>
      </c>
      <c r="AB31" s="5" t="s">
        <v>302</v>
      </c>
      <c r="AC31" s="3">
        <v>30985358</v>
      </c>
      <c r="AD31" s="5"/>
      <c r="AE31" s="5"/>
      <c r="AF31" s="5"/>
      <c r="AG31" s="5" t="s">
        <v>36</v>
      </c>
      <c r="AH31" s="5"/>
      <c r="AI31" s="5"/>
      <c r="AJ31" s="5"/>
      <c r="AK31" s="5"/>
      <c r="AL31" s="5"/>
      <c r="AM31" s="5"/>
      <c r="AN31" s="5"/>
    </row>
    <row r="32" spans="1:40" ht="45" x14ac:dyDescent="0.25">
      <c r="A32" s="3">
        <v>28</v>
      </c>
      <c r="B32" s="3" t="s">
        <v>42</v>
      </c>
      <c r="C32" s="4" t="s">
        <v>303</v>
      </c>
      <c r="D32" s="3" t="s">
        <v>1312</v>
      </c>
      <c r="E32" s="5" t="s">
        <v>304</v>
      </c>
      <c r="F32" s="6">
        <v>31535</v>
      </c>
      <c r="G32" s="6">
        <v>38918</v>
      </c>
      <c r="H32" s="3" t="s">
        <v>44</v>
      </c>
      <c r="I32" s="3" t="s">
        <v>45</v>
      </c>
      <c r="J32" s="3" t="s">
        <v>119</v>
      </c>
      <c r="K32" s="3" t="s">
        <v>305</v>
      </c>
      <c r="L32" s="5" t="s">
        <v>130</v>
      </c>
      <c r="M32" s="6">
        <v>45559</v>
      </c>
      <c r="N32" s="5" t="s">
        <v>55</v>
      </c>
      <c r="O32" s="3" t="s">
        <v>121</v>
      </c>
      <c r="P32" s="5" t="s">
        <v>122</v>
      </c>
      <c r="Q32" s="3" t="s">
        <v>122</v>
      </c>
      <c r="R32" s="6">
        <v>41146</v>
      </c>
      <c r="S32" s="5" t="s">
        <v>306</v>
      </c>
      <c r="T32" s="5" t="s">
        <v>307</v>
      </c>
      <c r="U32" s="5" t="s">
        <v>307</v>
      </c>
      <c r="V32" s="5" t="s">
        <v>121</v>
      </c>
      <c r="W32" s="5" t="s">
        <v>121</v>
      </c>
      <c r="X32" s="5" t="s">
        <v>54</v>
      </c>
      <c r="Y32" s="5" t="s">
        <v>55</v>
      </c>
      <c r="Z32" s="3" t="s">
        <v>308</v>
      </c>
      <c r="AA32" s="3" t="s">
        <v>115</v>
      </c>
      <c r="AB32" s="5" t="s">
        <v>127</v>
      </c>
      <c r="AC32" s="3">
        <v>31613181</v>
      </c>
      <c r="AD32" s="5"/>
      <c r="AE32" s="5"/>
      <c r="AF32" s="5"/>
      <c r="AG32" s="5"/>
      <c r="AH32" s="5"/>
      <c r="AI32" s="5"/>
      <c r="AJ32" s="5"/>
      <c r="AK32" s="5"/>
      <c r="AL32" s="5" t="s">
        <v>121</v>
      </c>
      <c r="AM32" s="5" t="s">
        <v>122</v>
      </c>
      <c r="AN32" s="5" t="s">
        <v>122</v>
      </c>
    </row>
    <row r="33" spans="1:40" ht="45" x14ac:dyDescent="0.25">
      <c r="A33" s="3">
        <v>29</v>
      </c>
      <c r="B33" s="3" t="s">
        <v>42</v>
      </c>
      <c r="C33" s="4" t="s">
        <v>309</v>
      </c>
      <c r="D33" s="3" t="s">
        <v>1313</v>
      </c>
      <c r="E33" s="5" t="s">
        <v>310</v>
      </c>
      <c r="F33" s="6">
        <v>29315</v>
      </c>
      <c r="G33" s="6">
        <v>36265</v>
      </c>
      <c r="H33" s="3" t="s">
        <v>77</v>
      </c>
      <c r="I33" s="3" t="s">
        <v>300</v>
      </c>
      <c r="J33" s="3" t="s">
        <v>311</v>
      </c>
      <c r="K33" s="3" t="s">
        <v>311</v>
      </c>
      <c r="L33" s="5" t="s">
        <v>312</v>
      </c>
      <c r="M33" s="6" t="s">
        <v>313</v>
      </c>
      <c r="N33" s="5"/>
      <c r="O33" s="3" t="s">
        <v>121</v>
      </c>
      <c r="P33" s="5" t="s">
        <v>122</v>
      </c>
      <c r="Q33" s="3" t="s">
        <v>121</v>
      </c>
      <c r="R33" s="6">
        <v>44185</v>
      </c>
      <c r="S33" s="5" t="s">
        <v>314</v>
      </c>
      <c r="T33" s="5" t="s">
        <v>315</v>
      </c>
      <c r="U33" s="5" t="s">
        <v>315</v>
      </c>
      <c r="V33" s="5" t="s">
        <v>55</v>
      </c>
      <c r="W33" s="5" t="s">
        <v>55</v>
      </c>
      <c r="X33" s="5" t="s">
        <v>55</v>
      </c>
      <c r="Y33" s="5" t="s">
        <v>72</v>
      </c>
      <c r="Z33" s="3" t="s">
        <v>316</v>
      </c>
      <c r="AA33" s="3" t="s">
        <v>85</v>
      </c>
      <c r="AB33" s="5" t="s">
        <v>317</v>
      </c>
      <c r="AC33" s="3">
        <v>30910110</v>
      </c>
      <c r="AD33" s="5"/>
      <c r="AE33" s="5"/>
      <c r="AF33" s="5"/>
      <c r="AG33" s="5"/>
      <c r="AH33" s="5"/>
      <c r="AI33" s="5"/>
      <c r="AJ33" s="5"/>
      <c r="AK33" s="5"/>
      <c r="AL33" s="5"/>
      <c r="AM33" s="5" t="s">
        <v>136</v>
      </c>
      <c r="AN33" s="5"/>
    </row>
    <row r="34" spans="1:40" ht="75" x14ac:dyDescent="0.25">
      <c r="A34" s="3">
        <v>30</v>
      </c>
      <c r="B34" s="3" t="s">
        <v>42</v>
      </c>
      <c r="C34" s="4" t="s">
        <v>1129</v>
      </c>
      <c r="D34" s="3" t="s">
        <v>1130</v>
      </c>
      <c r="E34" s="5" t="s">
        <v>248</v>
      </c>
      <c r="F34" s="6">
        <v>29971</v>
      </c>
      <c r="G34" s="6">
        <v>37139</v>
      </c>
      <c r="H34" s="3" t="s">
        <v>129</v>
      </c>
      <c r="I34" s="3" t="s">
        <v>45</v>
      </c>
      <c r="J34" s="3" t="s">
        <v>45</v>
      </c>
      <c r="K34" s="3" t="s">
        <v>318</v>
      </c>
      <c r="L34" s="5" t="s">
        <v>110</v>
      </c>
      <c r="M34" s="6">
        <v>45547</v>
      </c>
      <c r="N34" s="5" t="s">
        <v>50</v>
      </c>
      <c r="O34" s="3" t="s">
        <v>49</v>
      </c>
      <c r="P34" s="5" t="s">
        <v>250</v>
      </c>
      <c r="Q34" s="3" t="s">
        <v>51</v>
      </c>
      <c r="R34" s="6">
        <v>45871</v>
      </c>
      <c r="S34" s="5" t="s">
        <v>319</v>
      </c>
      <c r="T34" s="5" t="s">
        <v>320</v>
      </c>
      <c r="U34" s="5" t="s">
        <v>320</v>
      </c>
      <c r="V34" s="5" t="s">
        <v>321</v>
      </c>
      <c r="W34" s="5">
        <v>41338</v>
      </c>
      <c r="X34" s="5" t="s">
        <v>45</v>
      </c>
      <c r="Y34" s="5" t="s">
        <v>55</v>
      </c>
      <c r="Z34" s="3" t="s">
        <v>322</v>
      </c>
      <c r="AA34" s="3" t="s">
        <v>115</v>
      </c>
      <c r="AB34" s="5" t="s">
        <v>323</v>
      </c>
      <c r="AC34" s="3">
        <v>30476024</v>
      </c>
      <c r="AD34" s="5"/>
      <c r="AE34" s="5"/>
      <c r="AF34" s="5" t="s">
        <v>324</v>
      </c>
      <c r="AG34" s="5"/>
      <c r="AH34" s="5"/>
      <c r="AI34" s="5"/>
      <c r="AJ34" s="5"/>
      <c r="AK34" s="5"/>
      <c r="AL34" s="5"/>
      <c r="AM34" s="5"/>
      <c r="AN34" s="5"/>
    </row>
    <row r="35" spans="1:40" ht="45" x14ac:dyDescent="0.25">
      <c r="A35" s="3">
        <v>31</v>
      </c>
      <c r="B35" s="3" t="s">
        <v>42</v>
      </c>
      <c r="C35" s="4" t="s">
        <v>325</v>
      </c>
      <c r="D35" s="3" t="s">
        <v>1314</v>
      </c>
      <c r="E35" s="5" t="s">
        <v>326</v>
      </c>
      <c r="F35" s="6">
        <v>29738</v>
      </c>
      <c r="G35" s="6">
        <v>38912</v>
      </c>
      <c r="H35" s="3" t="s">
        <v>44</v>
      </c>
      <c r="I35" s="3" t="s">
        <v>45</v>
      </c>
      <c r="J35" s="3" t="s">
        <v>119</v>
      </c>
      <c r="K35" s="3" t="s">
        <v>120</v>
      </c>
      <c r="L35" s="5" t="s">
        <v>241</v>
      </c>
      <c r="M35" s="6">
        <v>45572</v>
      </c>
      <c r="N35" s="5" t="s">
        <v>50</v>
      </c>
      <c r="O35" s="3" t="s">
        <v>49</v>
      </c>
      <c r="P35" s="5" t="s">
        <v>327</v>
      </c>
      <c r="Q35" s="3" t="s">
        <v>51</v>
      </c>
      <c r="R35" s="6">
        <v>45585</v>
      </c>
      <c r="S35" s="5" t="s">
        <v>328</v>
      </c>
      <c r="T35" s="5" t="s">
        <v>329</v>
      </c>
      <c r="U35" s="5" t="s">
        <v>329</v>
      </c>
      <c r="V35" s="5"/>
      <c r="W35" s="5"/>
      <c r="X35" s="5"/>
      <c r="Y35" s="5" t="s">
        <v>72</v>
      </c>
      <c r="Z35" s="3" t="s">
        <v>330</v>
      </c>
      <c r="AA35" s="3" t="s">
        <v>57</v>
      </c>
      <c r="AB35" s="5" t="s">
        <v>127</v>
      </c>
      <c r="AC35" s="3">
        <v>30475876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60" x14ac:dyDescent="0.25">
      <c r="A36" s="3">
        <v>32</v>
      </c>
      <c r="B36" s="3" t="s">
        <v>42</v>
      </c>
      <c r="C36" s="4" t="s">
        <v>1131</v>
      </c>
      <c r="D36" s="3" t="s">
        <v>1132</v>
      </c>
      <c r="E36" s="5" t="s">
        <v>331</v>
      </c>
      <c r="F36" s="6">
        <v>27261</v>
      </c>
      <c r="G36" s="6">
        <v>34217</v>
      </c>
      <c r="H36" s="3" t="s">
        <v>77</v>
      </c>
      <c r="I36" s="3" t="s">
        <v>45</v>
      </c>
      <c r="J36" s="3" t="s">
        <v>108</v>
      </c>
      <c r="K36" s="3" t="s">
        <v>332</v>
      </c>
      <c r="L36" s="5" t="s">
        <v>47</v>
      </c>
      <c r="M36" s="6">
        <v>45492</v>
      </c>
      <c r="N36" s="5" t="s">
        <v>139</v>
      </c>
      <c r="O36" s="3" t="s">
        <v>49</v>
      </c>
      <c r="P36" s="5" t="s">
        <v>333</v>
      </c>
      <c r="Q36" s="3" t="s">
        <v>51</v>
      </c>
      <c r="R36" s="6">
        <v>45871</v>
      </c>
      <c r="S36" s="5" t="s">
        <v>334</v>
      </c>
      <c r="T36" s="5" t="s">
        <v>335</v>
      </c>
      <c r="U36" s="5" t="s">
        <v>335</v>
      </c>
      <c r="V36" s="5"/>
      <c r="W36" s="5"/>
      <c r="X36" s="5"/>
      <c r="Y36" s="5" t="s">
        <v>72</v>
      </c>
      <c r="Z36" s="3" t="s">
        <v>336</v>
      </c>
      <c r="AA36" s="3" t="s">
        <v>201</v>
      </c>
      <c r="AB36" s="5" t="s">
        <v>255</v>
      </c>
      <c r="AC36" s="3">
        <v>31383980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ht="60" x14ac:dyDescent="0.25">
      <c r="A37" s="3">
        <v>33</v>
      </c>
      <c r="B37" s="3" t="s">
        <v>42</v>
      </c>
      <c r="C37" s="4" t="s">
        <v>1133</v>
      </c>
      <c r="D37" s="3" t="s">
        <v>1134</v>
      </c>
      <c r="E37" s="5" t="s">
        <v>337</v>
      </c>
      <c r="F37" s="6">
        <v>24990</v>
      </c>
      <c r="G37" s="6">
        <v>32996</v>
      </c>
      <c r="H37" s="3" t="s">
        <v>129</v>
      </c>
      <c r="I37" s="3" t="s">
        <v>45</v>
      </c>
      <c r="J37" s="3" t="s">
        <v>108</v>
      </c>
      <c r="K37" s="3" t="s">
        <v>338</v>
      </c>
      <c r="L37" s="5"/>
      <c r="M37" s="6">
        <v>32996</v>
      </c>
      <c r="N37" s="5" t="s">
        <v>339</v>
      </c>
      <c r="O37" s="3" t="s">
        <v>49</v>
      </c>
      <c r="P37" s="5" t="s">
        <v>340</v>
      </c>
      <c r="Q37" s="3" t="s">
        <v>51</v>
      </c>
      <c r="R37" s="6">
        <v>45603</v>
      </c>
      <c r="S37" s="5" t="s">
        <v>341</v>
      </c>
      <c r="T37" s="5" t="s">
        <v>342</v>
      </c>
      <c r="U37" s="5" t="s">
        <v>342</v>
      </c>
      <c r="V37" s="5" t="s">
        <v>71</v>
      </c>
      <c r="W37" s="5">
        <v>37456</v>
      </c>
      <c r="X37" s="5"/>
      <c r="Y37" s="5" t="s">
        <v>55</v>
      </c>
      <c r="Z37" s="3" t="s">
        <v>343</v>
      </c>
      <c r="AA37" s="3" t="s">
        <v>115</v>
      </c>
      <c r="AB37" s="5" t="s">
        <v>344</v>
      </c>
      <c r="AC37" s="3">
        <v>30475185</v>
      </c>
      <c r="AD37" s="5"/>
      <c r="AE37" s="5"/>
      <c r="AF37" s="5"/>
      <c r="AG37" s="5"/>
      <c r="AH37" s="5"/>
      <c r="AI37" s="5"/>
      <c r="AJ37" s="5"/>
      <c r="AK37" s="5"/>
      <c r="AL37" s="5" t="s">
        <v>229</v>
      </c>
      <c r="AM37" s="5"/>
      <c r="AN37" s="5"/>
    </row>
    <row r="38" spans="1:40" ht="60" x14ac:dyDescent="0.25">
      <c r="A38" s="3">
        <v>34</v>
      </c>
      <c r="B38" s="3" t="s">
        <v>42</v>
      </c>
      <c r="C38" s="4" t="s">
        <v>1135</v>
      </c>
      <c r="D38" s="3" t="s">
        <v>1136</v>
      </c>
      <c r="E38" s="5" t="s">
        <v>345</v>
      </c>
      <c r="F38" s="6">
        <v>25927</v>
      </c>
      <c r="G38" s="6">
        <v>32958</v>
      </c>
      <c r="H38" s="3" t="s">
        <v>346</v>
      </c>
      <c r="I38" s="3" t="s">
        <v>45</v>
      </c>
      <c r="J38" s="3" t="s">
        <v>45</v>
      </c>
      <c r="K38" s="3" t="s">
        <v>318</v>
      </c>
      <c r="L38" s="5" t="s">
        <v>130</v>
      </c>
      <c r="M38" s="6">
        <v>45076</v>
      </c>
      <c r="N38" s="5" t="s">
        <v>340</v>
      </c>
      <c r="O38" s="3" t="s">
        <v>48</v>
      </c>
      <c r="P38" s="5" t="s">
        <v>48</v>
      </c>
      <c r="Q38" s="3" t="s">
        <v>347</v>
      </c>
      <c r="R38" s="6">
        <v>44876</v>
      </c>
      <c r="S38" s="5" t="s">
        <v>348</v>
      </c>
      <c r="T38" s="5" t="s">
        <v>349</v>
      </c>
      <c r="U38" s="5" t="s">
        <v>349</v>
      </c>
      <c r="V38" s="5">
        <v>44690</v>
      </c>
      <c r="W38" s="5">
        <v>44349</v>
      </c>
      <c r="X38" s="5"/>
      <c r="Y38" s="5" t="s">
        <v>55</v>
      </c>
      <c r="Z38" s="3" t="s">
        <v>350</v>
      </c>
      <c r="AA38" s="3" t="s">
        <v>57</v>
      </c>
      <c r="AB38" s="5"/>
      <c r="AC38" s="3">
        <v>30475224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ht="45" x14ac:dyDescent="0.25">
      <c r="A39" s="3">
        <v>35</v>
      </c>
      <c r="B39" s="3" t="s">
        <v>42</v>
      </c>
      <c r="C39" s="4" t="s">
        <v>351</v>
      </c>
      <c r="D39" s="3" t="s">
        <v>1315</v>
      </c>
      <c r="E39" s="5" t="s">
        <v>352</v>
      </c>
      <c r="F39" s="6">
        <v>28823</v>
      </c>
      <c r="G39" s="6">
        <v>37450</v>
      </c>
      <c r="H39" s="3" t="s">
        <v>44</v>
      </c>
      <c r="I39" s="3" t="s">
        <v>45</v>
      </c>
      <c r="J39" s="3" t="s">
        <v>46</v>
      </c>
      <c r="K39" s="3" t="s">
        <v>46</v>
      </c>
      <c r="L39" s="5" t="s">
        <v>196</v>
      </c>
      <c r="M39" s="6">
        <v>43116</v>
      </c>
      <c r="N39" s="5" t="s">
        <v>333</v>
      </c>
      <c r="O39" s="3" t="s">
        <v>49</v>
      </c>
      <c r="P39" s="5" t="s">
        <v>65</v>
      </c>
      <c r="Q39" s="3" t="s">
        <v>51</v>
      </c>
      <c r="R39" s="6">
        <v>45728</v>
      </c>
      <c r="S39" s="5" t="s">
        <v>353</v>
      </c>
      <c r="T39" s="5" t="s">
        <v>354</v>
      </c>
      <c r="U39" s="5" t="s">
        <v>354</v>
      </c>
      <c r="V39" s="5">
        <v>43506</v>
      </c>
      <c r="W39" s="5">
        <v>41422</v>
      </c>
      <c r="X39" s="5" t="s">
        <v>45</v>
      </c>
      <c r="Y39" s="5" t="s">
        <v>72</v>
      </c>
      <c r="Z39" s="3" t="s">
        <v>355</v>
      </c>
      <c r="AA39" s="3" t="s">
        <v>57</v>
      </c>
      <c r="AB39" s="5" t="s">
        <v>356</v>
      </c>
      <c r="AC39" s="3">
        <v>30952681</v>
      </c>
      <c r="AD39" s="5"/>
      <c r="AE39" s="5"/>
      <c r="AF39" s="5" t="s">
        <v>357</v>
      </c>
      <c r="AG39" s="5"/>
      <c r="AH39" s="5"/>
      <c r="AI39" s="5"/>
      <c r="AJ39" s="5"/>
      <c r="AK39" s="5"/>
      <c r="AL39" s="5" t="s">
        <v>49</v>
      </c>
      <c r="AM39" s="5" t="s">
        <v>333</v>
      </c>
      <c r="AN39" s="5" t="s">
        <v>101</v>
      </c>
    </row>
    <row r="40" spans="1:40" ht="60" x14ac:dyDescent="0.25">
      <c r="A40" s="3">
        <v>36</v>
      </c>
      <c r="B40" s="3" t="s">
        <v>42</v>
      </c>
      <c r="C40" s="4" t="s">
        <v>358</v>
      </c>
      <c r="D40" s="3" t="s">
        <v>1316</v>
      </c>
      <c r="E40" s="5" t="s">
        <v>359</v>
      </c>
      <c r="F40" s="6">
        <v>28191</v>
      </c>
      <c r="G40" s="6">
        <v>37139</v>
      </c>
      <c r="H40" s="3" t="s">
        <v>156</v>
      </c>
      <c r="I40" s="3" t="s">
        <v>45</v>
      </c>
      <c r="J40" s="3" t="s">
        <v>108</v>
      </c>
      <c r="K40" s="3" t="s">
        <v>231</v>
      </c>
      <c r="L40" s="5"/>
      <c r="M40" s="6">
        <v>38964</v>
      </c>
      <c r="N40" s="5" t="s">
        <v>242</v>
      </c>
      <c r="O40" s="3" t="s">
        <v>49</v>
      </c>
      <c r="P40" s="5" t="s">
        <v>340</v>
      </c>
      <c r="Q40" s="3" t="s">
        <v>51</v>
      </c>
      <c r="R40" s="6">
        <v>45657</v>
      </c>
      <c r="S40" s="5" t="s">
        <v>360</v>
      </c>
      <c r="T40" s="5" t="s">
        <v>361</v>
      </c>
      <c r="U40" s="5" t="s">
        <v>361</v>
      </c>
      <c r="V40" s="5">
        <v>39109</v>
      </c>
      <c r="W40" s="5">
        <v>40459</v>
      </c>
      <c r="X40" s="5"/>
      <c r="Y40" s="5" t="s">
        <v>55</v>
      </c>
      <c r="Z40" s="3" t="s">
        <v>362</v>
      </c>
      <c r="AA40" s="3" t="s">
        <v>105</v>
      </c>
      <c r="AB40" s="5"/>
      <c r="AC40" s="3">
        <v>30920437</v>
      </c>
      <c r="AD40" s="5"/>
      <c r="AE40" s="5"/>
      <c r="AF40" s="5"/>
      <c r="AG40" s="5"/>
      <c r="AH40" s="5" t="s">
        <v>37</v>
      </c>
      <c r="AI40" s="5" t="s">
        <v>38</v>
      </c>
      <c r="AJ40" s="5" t="s">
        <v>39</v>
      </c>
      <c r="AK40" s="5"/>
      <c r="AL40" s="5">
        <v>45089</v>
      </c>
      <c r="AM40" s="5"/>
      <c r="AN40" s="5"/>
    </row>
    <row r="41" spans="1:40" ht="45" x14ac:dyDescent="0.25">
      <c r="A41" s="3">
        <v>37</v>
      </c>
      <c r="B41" s="3" t="s">
        <v>42</v>
      </c>
      <c r="C41" s="4" t="s">
        <v>1137</v>
      </c>
      <c r="D41" s="3" t="s">
        <v>1138</v>
      </c>
      <c r="E41" s="5" t="s">
        <v>363</v>
      </c>
      <c r="F41" s="6">
        <v>28543</v>
      </c>
      <c r="G41" s="6">
        <v>36188</v>
      </c>
      <c r="H41" s="3" t="s">
        <v>44</v>
      </c>
      <c r="I41" s="3" t="s">
        <v>45</v>
      </c>
      <c r="J41" s="3" t="s">
        <v>108</v>
      </c>
      <c r="K41" s="3" t="s">
        <v>332</v>
      </c>
      <c r="L41" s="5" t="s">
        <v>90</v>
      </c>
      <c r="M41" s="6">
        <v>45160</v>
      </c>
      <c r="N41" s="5" t="s">
        <v>139</v>
      </c>
      <c r="O41" s="3" t="s">
        <v>49</v>
      </c>
      <c r="P41" s="5" t="s">
        <v>242</v>
      </c>
      <c r="Q41" s="3" t="s">
        <v>51</v>
      </c>
      <c r="R41" s="6">
        <v>45891</v>
      </c>
      <c r="S41" s="5" t="s">
        <v>364</v>
      </c>
      <c r="T41" s="5" t="s">
        <v>365</v>
      </c>
      <c r="U41" s="5" t="s">
        <v>365</v>
      </c>
      <c r="V41" s="5">
        <v>42825</v>
      </c>
      <c r="W41" s="5">
        <v>43167</v>
      </c>
      <c r="X41" s="5"/>
      <c r="Y41" s="5" t="s">
        <v>55</v>
      </c>
      <c r="Z41" s="3" t="s">
        <v>366</v>
      </c>
      <c r="AA41" s="3" t="s">
        <v>85</v>
      </c>
      <c r="AB41" s="5" t="s">
        <v>367</v>
      </c>
      <c r="AC41" s="3">
        <v>30475174</v>
      </c>
      <c r="AD41" s="5"/>
      <c r="AE41" s="5"/>
      <c r="AF41" s="5"/>
      <c r="AG41" s="5" t="s">
        <v>36</v>
      </c>
      <c r="AH41" s="5"/>
      <c r="AI41" s="5" t="s">
        <v>38</v>
      </c>
      <c r="AJ41" s="5"/>
      <c r="AK41" s="5"/>
      <c r="AL41" s="5"/>
      <c r="AM41" s="5"/>
      <c r="AN41" s="5"/>
    </row>
    <row r="42" spans="1:40" ht="25.5" x14ac:dyDescent="0.25">
      <c r="A42" s="3">
        <v>38</v>
      </c>
      <c r="B42" s="3" t="s">
        <v>42</v>
      </c>
      <c r="C42" s="8" t="s">
        <v>368</v>
      </c>
      <c r="D42" s="9" t="s">
        <v>1317</v>
      </c>
      <c r="E42" s="10" t="s">
        <v>369</v>
      </c>
      <c r="F42" s="11">
        <v>32106</v>
      </c>
      <c r="G42" s="11">
        <v>38904</v>
      </c>
      <c r="H42" s="12" t="s">
        <v>129</v>
      </c>
      <c r="I42" s="13" t="s">
        <v>45</v>
      </c>
      <c r="J42" s="14" t="s">
        <v>45</v>
      </c>
      <c r="K42" s="15" t="s">
        <v>267</v>
      </c>
      <c r="L42" s="16" t="s">
        <v>130</v>
      </c>
      <c r="M42" s="16">
        <v>45779</v>
      </c>
      <c r="N42" s="5" t="s">
        <v>250</v>
      </c>
      <c r="O42" s="17" t="s">
        <v>49</v>
      </c>
      <c r="P42" s="5" t="s">
        <v>50</v>
      </c>
      <c r="Q42" s="3" t="s">
        <v>51</v>
      </c>
      <c r="R42" s="19">
        <v>45871</v>
      </c>
      <c r="S42" s="20" t="s">
        <v>370</v>
      </c>
      <c r="T42" s="21" t="s">
        <v>371</v>
      </c>
      <c r="U42" s="21" t="s">
        <v>372</v>
      </c>
      <c r="V42" s="22" t="s">
        <v>321</v>
      </c>
      <c r="W42" s="23">
        <v>45197</v>
      </c>
      <c r="X42" s="23" t="s">
        <v>54</v>
      </c>
      <c r="Y42" s="24" t="s">
        <v>55</v>
      </c>
      <c r="Z42" s="25" t="s">
        <v>373</v>
      </c>
      <c r="AA42" s="15" t="s">
        <v>85</v>
      </c>
      <c r="AB42" s="17" t="s">
        <v>164</v>
      </c>
      <c r="AC42" s="17">
        <v>30475850</v>
      </c>
      <c r="AD42" s="17"/>
      <c r="AE42" s="17"/>
      <c r="AF42" s="17"/>
      <c r="AG42" s="17"/>
      <c r="AH42" s="17"/>
      <c r="AI42" s="17"/>
      <c r="AJ42" s="26"/>
      <c r="AK42" s="26"/>
      <c r="AL42" s="17" t="s">
        <v>48</v>
      </c>
      <c r="AM42" s="27" t="s">
        <v>48</v>
      </c>
      <c r="AN42" s="28" t="s">
        <v>101</v>
      </c>
    </row>
    <row r="43" spans="1:40" ht="90" x14ac:dyDescent="0.25">
      <c r="A43" s="3">
        <v>39</v>
      </c>
      <c r="B43" s="3" t="s">
        <v>42</v>
      </c>
      <c r="C43" s="4" t="s">
        <v>1300</v>
      </c>
      <c r="D43" s="3" t="s">
        <v>1301</v>
      </c>
      <c r="E43" s="5" t="s">
        <v>374</v>
      </c>
      <c r="F43" s="6">
        <v>29690</v>
      </c>
      <c r="G43" s="6">
        <v>39244</v>
      </c>
      <c r="H43" s="7" t="s">
        <v>156</v>
      </c>
      <c r="I43" s="3" t="s">
        <v>45</v>
      </c>
      <c r="J43" s="3" t="s">
        <v>119</v>
      </c>
      <c r="K43" s="3" t="s">
        <v>375</v>
      </c>
      <c r="L43" s="5" t="s">
        <v>376</v>
      </c>
      <c r="M43" s="6">
        <v>44583</v>
      </c>
      <c r="N43" s="5" t="s">
        <v>377</v>
      </c>
      <c r="O43" s="3" t="s">
        <v>49</v>
      </c>
      <c r="P43" s="5" t="s">
        <v>148</v>
      </c>
      <c r="Q43" s="7" t="s">
        <v>51</v>
      </c>
      <c r="R43" s="6">
        <v>45755</v>
      </c>
      <c r="S43" s="3" t="s">
        <v>378</v>
      </c>
      <c r="T43" s="5" t="s">
        <v>379</v>
      </c>
      <c r="U43" s="5" t="s">
        <v>379</v>
      </c>
      <c r="V43" s="5" t="s">
        <v>55</v>
      </c>
      <c r="W43" s="5" t="s">
        <v>55</v>
      </c>
      <c r="X43" s="5" t="s">
        <v>55</v>
      </c>
      <c r="Y43" s="5" t="s">
        <v>1318</v>
      </c>
      <c r="Z43" s="3" t="s">
        <v>380</v>
      </c>
      <c r="AA43" s="3" t="s">
        <v>85</v>
      </c>
      <c r="AB43" s="5" t="s">
        <v>255</v>
      </c>
      <c r="AC43" s="3">
        <v>30920490</v>
      </c>
      <c r="AD43" s="5"/>
      <c r="AE43" s="5"/>
      <c r="AF43" s="5"/>
      <c r="AG43" s="5"/>
      <c r="AH43" s="5" t="s">
        <v>37</v>
      </c>
      <c r="AI43" s="5"/>
      <c r="AJ43" s="5"/>
      <c r="AK43" s="5"/>
      <c r="AL43" s="5"/>
      <c r="AM43" s="5"/>
      <c r="AN43" s="5"/>
    </row>
    <row r="44" spans="1:40" ht="45" x14ac:dyDescent="0.25">
      <c r="A44" s="3">
        <v>40</v>
      </c>
      <c r="B44" s="3" t="s">
        <v>42</v>
      </c>
      <c r="C44" s="4" t="s">
        <v>381</v>
      </c>
      <c r="D44" s="3" t="s">
        <v>1319</v>
      </c>
      <c r="E44" s="5" t="s">
        <v>382</v>
      </c>
      <c r="F44" s="6">
        <v>30782</v>
      </c>
      <c r="G44" s="6">
        <v>38912</v>
      </c>
      <c r="H44" s="3" t="s">
        <v>44</v>
      </c>
      <c r="I44" s="3" t="s">
        <v>45</v>
      </c>
      <c r="J44" s="3" t="s">
        <v>108</v>
      </c>
      <c r="K44" s="3" t="s">
        <v>231</v>
      </c>
      <c r="L44" s="5" t="s">
        <v>130</v>
      </c>
      <c r="M44" s="6">
        <v>45617</v>
      </c>
      <c r="N44" s="5" t="s">
        <v>242</v>
      </c>
      <c r="O44" s="3" t="s">
        <v>49</v>
      </c>
      <c r="P44" s="5" t="s">
        <v>232</v>
      </c>
      <c r="Q44" s="3" t="s">
        <v>51</v>
      </c>
      <c r="R44" s="6">
        <v>45800</v>
      </c>
      <c r="S44" s="5" t="s">
        <v>383</v>
      </c>
      <c r="T44" s="5" t="s">
        <v>384</v>
      </c>
      <c r="U44" s="5" t="s">
        <v>384</v>
      </c>
      <c r="V44" s="5" t="s">
        <v>71</v>
      </c>
      <c r="W44" s="5">
        <v>42371</v>
      </c>
      <c r="X44" s="5" t="s">
        <v>45</v>
      </c>
      <c r="Y44" s="5" t="s">
        <v>55</v>
      </c>
      <c r="Z44" s="3" t="s">
        <v>385</v>
      </c>
      <c r="AA44" s="3" t="s">
        <v>57</v>
      </c>
      <c r="AB44" s="5" t="s">
        <v>367</v>
      </c>
      <c r="AC44" s="3">
        <v>30475944</v>
      </c>
      <c r="AD44" s="5"/>
      <c r="AE44" s="5" t="s">
        <v>165</v>
      </c>
      <c r="AF44" s="5"/>
      <c r="AG44" s="5"/>
      <c r="AH44" s="5"/>
      <c r="AI44" s="5"/>
      <c r="AJ44" s="5"/>
      <c r="AK44" s="5"/>
      <c r="AL44" s="5" t="s">
        <v>49</v>
      </c>
      <c r="AM44" s="5" t="s">
        <v>91</v>
      </c>
      <c r="AN44" s="5" t="s">
        <v>386</v>
      </c>
    </row>
    <row r="45" spans="1:40" ht="25.5" x14ac:dyDescent="0.25">
      <c r="A45" s="3">
        <v>41</v>
      </c>
      <c r="B45" s="3" t="s">
        <v>42</v>
      </c>
      <c r="C45" s="31" t="s">
        <v>1139</v>
      </c>
      <c r="D45" s="9" t="s">
        <v>1140</v>
      </c>
      <c r="E45" s="10" t="s">
        <v>387</v>
      </c>
      <c r="F45" s="11">
        <v>27700</v>
      </c>
      <c r="G45" s="11">
        <v>36178</v>
      </c>
      <c r="H45" s="12" t="s">
        <v>129</v>
      </c>
      <c r="I45" s="13" t="s">
        <v>45</v>
      </c>
      <c r="J45" s="13" t="s">
        <v>108</v>
      </c>
      <c r="K45" s="32" t="s">
        <v>388</v>
      </c>
      <c r="L45" s="33" t="s">
        <v>90</v>
      </c>
      <c r="M45" s="33">
        <v>45916</v>
      </c>
      <c r="N45" s="32" t="s">
        <v>389</v>
      </c>
      <c r="O45" s="13" t="s">
        <v>48</v>
      </c>
      <c r="P45" s="32" t="s">
        <v>48</v>
      </c>
      <c r="Q45" s="32" t="s">
        <v>101</v>
      </c>
      <c r="R45" s="34">
        <v>45916</v>
      </c>
      <c r="S45" s="12" t="s">
        <v>390</v>
      </c>
      <c r="T45" s="31" t="s">
        <v>391</v>
      </c>
      <c r="U45" s="31" t="s">
        <v>391</v>
      </c>
      <c r="V45" s="35">
        <v>44009</v>
      </c>
      <c r="W45" s="36" t="s">
        <v>71</v>
      </c>
      <c r="X45" s="11"/>
      <c r="Y45" s="32" t="s">
        <v>55</v>
      </c>
      <c r="Z45" s="13" t="s">
        <v>392</v>
      </c>
      <c r="AA45" s="13" t="s">
        <v>85</v>
      </c>
      <c r="AB45" s="13" t="s">
        <v>393</v>
      </c>
      <c r="AC45" s="13">
        <v>30475247</v>
      </c>
      <c r="AD45" s="13" t="s">
        <v>274</v>
      </c>
      <c r="AE45" s="13"/>
      <c r="AF45" s="13"/>
      <c r="AG45" s="37"/>
      <c r="AH45" s="38"/>
      <c r="AI45" s="39"/>
    </row>
    <row r="46" spans="1:40" ht="60" x14ac:dyDescent="0.25">
      <c r="A46" s="3">
        <v>42</v>
      </c>
      <c r="B46" s="3" t="s">
        <v>42</v>
      </c>
      <c r="C46" s="4" t="s">
        <v>1141</v>
      </c>
      <c r="D46" s="3" t="s">
        <v>1142</v>
      </c>
      <c r="E46" s="5" t="s">
        <v>394</v>
      </c>
      <c r="F46" s="6">
        <v>26375</v>
      </c>
      <c r="G46" s="6" t="s">
        <v>395</v>
      </c>
      <c r="H46" s="3" t="s">
        <v>396</v>
      </c>
      <c r="I46" s="3" t="s">
        <v>45</v>
      </c>
      <c r="J46" s="3" t="s">
        <v>45</v>
      </c>
      <c r="K46" s="3" t="s">
        <v>100</v>
      </c>
      <c r="L46" s="5" t="s">
        <v>397</v>
      </c>
      <c r="M46" s="6">
        <v>45125</v>
      </c>
      <c r="N46" s="5" t="s">
        <v>48</v>
      </c>
      <c r="O46" s="3" t="s">
        <v>49</v>
      </c>
      <c r="P46" s="5" t="s">
        <v>111</v>
      </c>
      <c r="Q46" s="3" t="s">
        <v>51</v>
      </c>
      <c r="R46" s="6">
        <v>45891</v>
      </c>
      <c r="S46" s="5" t="s">
        <v>398</v>
      </c>
      <c r="T46" s="5" t="s">
        <v>399</v>
      </c>
      <c r="U46" s="5" t="s">
        <v>399</v>
      </c>
      <c r="V46" s="5"/>
      <c r="W46" s="5"/>
      <c r="X46" s="5"/>
      <c r="Y46" s="5"/>
      <c r="Z46" s="3" t="s">
        <v>400</v>
      </c>
      <c r="AA46" s="3" t="s">
        <v>85</v>
      </c>
      <c r="AB46" s="5" t="s">
        <v>127</v>
      </c>
      <c r="AC46" s="3">
        <v>30554963</v>
      </c>
      <c r="AD46" s="5"/>
      <c r="AE46" s="5"/>
      <c r="AF46" s="5" t="s">
        <v>401</v>
      </c>
      <c r="AG46" s="5" t="s">
        <v>36</v>
      </c>
      <c r="AH46" s="5"/>
      <c r="AI46" s="5"/>
      <c r="AJ46" s="5"/>
      <c r="AK46" s="5"/>
      <c r="AL46" s="5"/>
      <c r="AM46" s="5"/>
      <c r="AN46" s="5"/>
    </row>
    <row r="47" spans="1:40" ht="60" x14ac:dyDescent="0.25">
      <c r="A47" s="3">
        <v>43</v>
      </c>
      <c r="B47" s="3" t="s">
        <v>42</v>
      </c>
      <c r="C47" s="4" t="s">
        <v>1302</v>
      </c>
      <c r="D47" s="3" t="s">
        <v>1303</v>
      </c>
      <c r="E47" s="5" t="s">
        <v>402</v>
      </c>
      <c r="F47" s="6">
        <v>30437</v>
      </c>
      <c r="G47" s="6">
        <v>39241</v>
      </c>
      <c r="H47" s="7" t="s">
        <v>44</v>
      </c>
      <c r="I47" s="3" t="s">
        <v>300</v>
      </c>
      <c r="J47" s="3" t="s">
        <v>403</v>
      </c>
      <c r="K47" s="3" t="s">
        <v>404</v>
      </c>
      <c r="L47" s="5" t="s">
        <v>213</v>
      </c>
      <c r="M47" s="6">
        <v>45359</v>
      </c>
      <c r="N47" s="5" t="s">
        <v>405</v>
      </c>
      <c r="O47" s="3" t="s">
        <v>49</v>
      </c>
      <c r="P47" s="5" t="s">
        <v>178</v>
      </c>
      <c r="Q47" s="7" t="s">
        <v>51</v>
      </c>
      <c r="R47" s="6">
        <v>45920</v>
      </c>
      <c r="S47" s="3" t="s">
        <v>406</v>
      </c>
      <c r="T47" s="5" t="s">
        <v>407</v>
      </c>
      <c r="U47" s="5" t="s">
        <v>407</v>
      </c>
      <c r="V47" s="5"/>
      <c r="W47" s="5"/>
      <c r="X47" s="5"/>
      <c r="Y47" s="5" t="s">
        <v>72</v>
      </c>
      <c r="Z47" s="3" t="s">
        <v>408</v>
      </c>
      <c r="AA47" s="3" t="s">
        <v>201</v>
      </c>
      <c r="AB47" s="5" t="s">
        <v>127</v>
      </c>
      <c r="AC47" s="3">
        <v>31324370</v>
      </c>
      <c r="AD47" s="5"/>
      <c r="AE47" s="5"/>
      <c r="AF47" s="5"/>
      <c r="AG47" s="5" t="s">
        <v>36</v>
      </c>
      <c r="AH47" s="5" t="s">
        <v>37</v>
      </c>
      <c r="AI47" s="5" t="s">
        <v>38</v>
      </c>
      <c r="AJ47" s="5" t="s">
        <v>39</v>
      </c>
      <c r="AK47" s="5" t="e">
        <f>VLOOKUP(Z47,[1]Sheet1!$B$2:$C$71,2,0)</f>
        <v>#N/A</v>
      </c>
      <c r="AL47" s="5"/>
      <c r="AM47" s="5"/>
      <c r="AN47" s="5"/>
    </row>
    <row r="48" spans="1:40" ht="75" x14ac:dyDescent="0.25">
      <c r="A48" s="3">
        <v>44</v>
      </c>
      <c r="B48" s="3" t="s">
        <v>42</v>
      </c>
      <c r="C48" s="4" t="s">
        <v>1143</v>
      </c>
      <c r="D48" s="3" t="s">
        <v>1144</v>
      </c>
      <c r="E48" s="5" t="s">
        <v>409</v>
      </c>
      <c r="F48" s="6">
        <v>25538</v>
      </c>
      <c r="G48" s="6">
        <v>33147</v>
      </c>
      <c r="H48" s="3" t="s">
        <v>77</v>
      </c>
      <c r="I48" s="3" t="s">
        <v>45</v>
      </c>
      <c r="J48" s="3" t="s">
        <v>45</v>
      </c>
      <c r="K48" s="3" t="s">
        <v>410</v>
      </c>
      <c r="L48" s="5" t="s">
        <v>277</v>
      </c>
      <c r="M48" s="6">
        <v>45240</v>
      </c>
      <c r="N48" s="5" t="s">
        <v>48</v>
      </c>
      <c r="O48" s="3" t="s">
        <v>49</v>
      </c>
      <c r="P48" s="5" t="s">
        <v>91</v>
      </c>
      <c r="Q48" s="3" t="s">
        <v>51</v>
      </c>
      <c r="R48" s="6">
        <v>45888</v>
      </c>
      <c r="S48" s="5" t="s">
        <v>411</v>
      </c>
      <c r="T48" s="5" t="s">
        <v>412</v>
      </c>
      <c r="U48" s="5" t="s">
        <v>412</v>
      </c>
      <c r="V48" s="5" t="s">
        <v>55</v>
      </c>
      <c r="W48" s="5" t="s">
        <v>55</v>
      </c>
      <c r="X48" s="5" t="s">
        <v>55</v>
      </c>
      <c r="Y48" s="5" t="s">
        <v>72</v>
      </c>
      <c r="Z48" s="3" t="s">
        <v>413</v>
      </c>
      <c r="AA48" s="3" t="s">
        <v>201</v>
      </c>
      <c r="AB48" s="5" t="s">
        <v>414</v>
      </c>
      <c r="AC48" s="3">
        <v>30475218</v>
      </c>
      <c r="AD48" s="5"/>
      <c r="AE48" s="5"/>
      <c r="AF48" s="5">
        <v>783</v>
      </c>
      <c r="AG48" s="5" t="s">
        <v>36</v>
      </c>
      <c r="AH48" s="5"/>
      <c r="AI48" s="5" t="s">
        <v>38</v>
      </c>
      <c r="AJ48" s="5"/>
      <c r="AK48" s="5"/>
      <c r="AL48" s="5"/>
      <c r="AM48" s="5"/>
      <c r="AN48" s="5"/>
    </row>
    <row r="49" spans="1:40" ht="75" x14ac:dyDescent="0.25">
      <c r="A49" s="3">
        <v>45</v>
      </c>
      <c r="B49" s="3" t="s">
        <v>42</v>
      </c>
      <c r="C49" s="4" t="s">
        <v>1145</v>
      </c>
      <c r="D49" s="3" t="s">
        <v>1146</v>
      </c>
      <c r="E49" s="5" t="s">
        <v>415</v>
      </c>
      <c r="F49" s="6">
        <v>26665</v>
      </c>
      <c r="G49" s="6">
        <v>34224</v>
      </c>
      <c r="H49" s="3" t="s">
        <v>44</v>
      </c>
      <c r="I49" s="3" t="s">
        <v>45</v>
      </c>
      <c r="J49" s="3" t="s">
        <v>119</v>
      </c>
      <c r="K49" s="3" t="s">
        <v>176</v>
      </c>
      <c r="L49" s="5" t="s">
        <v>241</v>
      </c>
      <c r="M49" s="6">
        <v>44287</v>
      </c>
      <c r="N49" s="5" t="s">
        <v>48</v>
      </c>
      <c r="O49" s="3" t="s">
        <v>49</v>
      </c>
      <c r="P49" s="5" t="s">
        <v>177</v>
      </c>
      <c r="Q49" s="3" t="s">
        <v>51</v>
      </c>
      <c r="R49" s="6">
        <v>45805</v>
      </c>
      <c r="S49" s="5" t="s">
        <v>416</v>
      </c>
      <c r="T49" s="5" t="s">
        <v>417</v>
      </c>
      <c r="U49" s="5" t="s">
        <v>417</v>
      </c>
      <c r="V49" s="5">
        <v>44950</v>
      </c>
      <c r="W49" s="5" t="s">
        <v>71</v>
      </c>
      <c r="X49" s="5"/>
      <c r="Y49" s="5" t="s">
        <v>55</v>
      </c>
      <c r="Z49" s="3" t="s">
        <v>418</v>
      </c>
      <c r="AA49" s="3" t="s">
        <v>419</v>
      </c>
      <c r="AB49" s="5"/>
      <c r="AC49" s="3">
        <v>30475502</v>
      </c>
      <c r="AD49" s="5" t="s">
        <v>274</v>
      </c>
      <c r="AE49" s="5"/>
      <c r="AF49" s="5" t="s">
        <v>420</v>
      </c>
      <c r="AG49" s="5"/>
      <c r="AH49" s="5"/>
      <c r="AI49" s="5"/>
      <c r="AJ49" s="5"/>
      <c r="AK49" s="5"/>
      <c r="AL49" s="5"/>
      <c r="AM49" s="5" t="s">
        <v>136</v>
      </c>
      <c r="AN49" s="5"/>
    </row>
    <row r="50" spans="1:40" ht="45" x14ac:dyDescent="0.25">
      <c r="A50" s="3">
        <v>46</v>
      </c>
      <c r="B50" s="3" t="s">
        <v>42</v>
      </c>
      <c r="C50" s="4" t="s">
        <v>1147</v>
      </c>
      <c r="D50" s="3" t="s">
        <v>1148</v>
      </c>
      <c r="E50" s="5" t="s">
        <v>421</v>
      </c>
      <c r="F50" s="6">
        <v>29952</v>
      </c>
      <c r="G50" s="6">
        <v>38918</v>
      </c>
      <c r="H50" s="3" t="s">
        <v>99</v>
      </c>
      <c r="I50" s="3" t="s">
        <v>45</v>
      </c>
      <c r="J50" s="3" t="s">
        <v>45</v>
      </c>
      <c r="K50" s="3" t="s">
        <v>318</v>
      </c>
      <c r="L50" s="5" t="s">
        <v>47</v>
      </c>
      <c r="M50" s="6">
        <v>45596</v>
      </c>
      <c r="N50" s="5" t="s">
        <v>242</v>
      </c>
      <c r="O50" s="3" t="s">
        <v>49</v>
      </c>
      <c r="P50" s="5" t="s">
        <v>389</v>
      </c>
      <c r="Q50" s="3" t="s">
        <v>51</v>
      </c>
      <c r="R50" s="6">
        <v>45744</v>
      </c>
      <c r="S50" s="5" t="s">
        <v>422</v>
      </c>
      <c r="T50" s="5" t="s">
        <v>423</v>
      </c>
      <c r="U50" s="5" t="s">
        <v>423</v>
      </c>
      <c r="V50" s="5">
        <v>42698</v>
      </c>
      <c r="W50" s="5">
        <v>42209</v>
      </c>
      <c r="X50" s="5"/>
      <c r="Y50" s="5" t="s">
        <v>55</v>
      </c>
      <c r="Z50" s="3" t="s">
        <v>424</v>
      </c>
      <c r="AA50" s="3" t="s">
        <v>85</v>
      </c>
      <c r="AB50" s="5" t="s">
        <v>164</v>
      </c>
      <c r="AC50" s="3">
        <v>30476017</v>
      </c>
      <c r="AD50" s="5"/>
      <c r="AE50" s="5"/>
      <c r="AF50" s="5"/>
      <c r="AG50" s="5" t="s">
        <v>425</v>
      </c>
      <c r="AH50" s="5">
        <v>45112</v>
      </c>
      <c r="AI50" s="5"/>
      <c r="AJ50" s="5"/>
      <c r="AK50" s="5"/>
      <c r="AL50" s="5"/>
      <c r="AM50" s="5"/>
      <c r="AN50" s="5"/>
    </row>
    <row r="51" spans="1:40" ht="45" x14ac:dyDescent="0.25">
      <c r="A51" s="3">
        <v>47</v>
      </c>
      <c r="B51" s="3" t="s">
        <v>42</v>
      </c>
      <c r="C51" s="4" t="s">
        <v>426</v>
      </c>
      <c r="D51" s="3" t="s">
        <v>1320</v>
      </c>
      <c r="E51" s="5" t="s">
        <v>427</v>
      </c>
      <c r="F51" s="6">
        <v>29977</v>
      </c>
      <c r="G51" s="6">
        <v>38315</v>
      </c>
      <c r="H51" s="3" t="s">
        <v>428</v>
      </c>
      <c r="I51" s="3" t="s">
        <v>45</v>
      </c>
      <c r="J51" s="3" t="s">
        <v>46</v>
      </c>
      <c r="K51" s="3" t="s">
        <v>46</v>
      </c>
      <c r="L51" s="5" t="s">
        <v>130</v>
      </c>
      <c r="M51" s="6">
        <v>45265</v>
      </c>
      <c r="N51" s="5" t="s">
        <v>55</v>
      </c>
      <c r="O51" s="3" t="s">
        <v>121</v>
      </c>
      <c r="P51" s="5" t="s">
        <v>122</v>
      </c>
      <c r="Q51" s="3" t="s">
        <v>122</v>
      </c>
      <c r="R51" s="6">
        <v>40688</v>
      </c>
      <c r="S51" s="5" t="s">
        <v>429</v>
      </c>
      <c r="T51" s="5" t="s">
        <v>430</v>
      </c>
      <c r="U51" s="5" t="s">
        <v>430</v>
      </c>
      <c r="V51" s="5" t="s">
        <v>121</v>
      </c>
      <c r="W51" s="5" t="s">
        <v>121</v>
      </c>
      <c r="X51" s="5" t="s">
        <v>54</v>
      </c>
      <c r="Y51" s="5" t="s">
        <v>55</v>
      </c>
      <c r="Z51" s="3" t="s">
        <v>431</v>
      </c>
      <c r="AA51" s="3" t="s">
        <v>85</v>
      </c>
      <c r="AB51" s="5" t="s">
        <v>432</v>
      </c>
      <c r="AC51" s="3">
        <v>31283602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ht="45" x14ac:dyDescent="0.25">
      <c r="A52" s="3">
        <v>48</v>
      </c>
      <c r="B52" s="3" t="s">
        <v>42</v>
      </c>
      <c r="C52" s="4" t="s">
        <v>1149</v>
      </c>
      <c r="D52" s="3" t="s">
        <v>1150</v>
      </c>
      <c r="E52" s="5" t="s">
        <v>433</v>
      </c>
      <c r="F52" s="6">
        <v>27642</v>
      </c>
      <c r="G52" s="6">
        <v>35968</v>
      </c>
      <c r="H52" s="3" t="s">
        <v>88</v>
      </c>
      <c r="I52" s="3" t="s">
        <v>45</v>
      </c>
      <c r="J52" s="3" t="s">
        <v>45</v>
      </c>
      <c r="K52" s="3" t="s">
        <v>267</v>
      </c>
      <c r="L52" s="5" t="s">
        <v>47</v>
      </c>
      <c r="M52" s="6">
        <v>45491</v>
      </c>
      <c r="N52" s="5" t="s">
        <v>434</v>
      </c>
      <c r="O52" s="3" t="s">
        <v>49</v>
      </c>
      <c r="P52" s="5" t="s">
        <v>197</v>
      </c>
      <c r="Q52" s="3" t="s">
        <v>51</v>
      </c>
      <c r="R52" s="6">
        <v>45736</v>
      </c>
      <c r="S52" s="5" t="s">
        <v>435</v>
      </c>
      <c r="T52" s="5" t="s">
        <v>436</v>
      </c>
      <c r="U52" s="5" t="s">
        <v>436</v>
      </c>
      <c r="V52" s="5" t="s">
        <v>55</v>
      </c>
      <c r="W52" s="5" t="s">
        <v>55</v>
      </c>
      <c r="X52" s="5" t="s">
        <v>45</v>
      </c>
      <c r="Y52" s="5" t="s">
        <v>72</v>
      </c>
      <c r="Z52" s="3" t="s">
        <v>437</v>
      </c>
      <c r="AA52" s="3" t="s">
        <v>57</v>
      </c>
      <c r="AB52" s="5" t="s">
        <v>438</v>
      </c>
      <c r="AC52" s="3">
        <v>30475499</v>
      </c>
      <c r="AD52" s="5" t="s">
        <v>55</v>
      </c>
      <c r="AE52" s="5" t="s">
        <v>55</v>
      </c>
      <c r="AF52" s="5" t="s">
        <v>55</v>
      </c>
      <c r="AG52" s="5"/>
      <c r="AH52" s="5"/>
      <c r="AI52" s="5"/>
      <c r="AJ52" s="5"/>
      <c r="AK52" s="5"/>
      <c r="AL52" s="5"/>
      <c r="AM52" s="5"/>
      <c r="AN52" s="5"/>
    </row>
    <row r="53" spans="1:40" ht="60" x14ac:dyDescent="0.25">
      <c r="A53" s="3">
        <v>49</v>
      </c>
      <c r="B53" s="3" t="s">
        <v>42</v>
      </c>
      <c r="C53" s="4" t="s">
        <v>439</v>
      </c>
      <c r="D53" s="3" t="s">
        <v>1321</v>
      </c>
      <c r="E53" s="5" t="s">
        <v>440</v>
      </c>
      <c r="F53" s="6">
        <v>30052</v>
      </c>
      <c r="G53" s="6">
        <v>38912</v>
      </c>
      <c r="H53" s="3" t="s">
        <v>156</v>
      </c>
      <c r="I53" s="3" t="s">
        <v>45</v>
      </c>
      <c r="J53" s="3" t="s">
        <v>45</v>
      </c>
      <c r="K53" s="3" t="s">
        <v>441</v>
      </c>
      <c r="L53" s="5" t="s">
        <v>241</v>
      </c>
      <c r="M53" s="6">
        <v>44575</v>
      </c>
      <c r="N53" s="5" t="s">
        <v>333</v>
      </c>
      <c r="O53" s="3" t="s">
        <v>49</v>
      </c>
      <c r="P53" s="5" t="s">
        <v>333</v>
      </c>
      <c r="Q53" s="3" t="s">
        <v>51</v>
      </c>
      <c r="R53" s="6">
        <v>45728</v>
      </c>
      <c r="S53" s="5" t="s">
        <v>442</v>
      </c>
      <c r="T53" s="5" t="s">
        <v>443</v>
      </c>
      <c r="U53" s="5" t="s">
        <v>443</v>
      </c>
      <c r="V53" s="5">
        <v>44950</v>
      </c>
      <c r="W53" s="5" t="s">
        <v>321</v>
      </c>
      <c r="X53" s="5" t="s">
        <v>45</v>
      </c>
      <c r="Y53" s="5" t="s">
        <v>55</v>
      </c>
      <c r="Z53" s="3" t="s">
        <v>444</v>
      </c>
      <c r="AA53" s="3" t="s">
        <v>85</v>
      </c>
      <c r="AB53" s="5" t="s">
        <v>445</v>
      </c>
      <c r="AC53" s="3">
        <v>30475869</v>
      </c>
      <c r="AD53" s="5"/>
      <c r="AE53" s="5" t="s">
        <v>165</v>
      </c>
      <c r="AF53" s="5" t="s">
        <v>446</v>
      </c>
      <c r="AG53" s="5"/>
      <c r="AH53" s="5"/>
      <c r="AI53" s="5"/>
      <c r="AJ53" s="5"/>
      <c r="AK53" s="5"/>
      <c r="AL53" s="5" t="s">
        <v>49</v>
      </c>
      <c r="AM53" s="5" t="s">
        <v>447</v>
      </c>
      <c r="AN53" s="5" t="s">
        <v>101</v>
      </c>
    </row>
    <row r="54" spans="1:40" x14ac:dyDescent="0.25">
      <c r="A54" s="3">
        <v>50</v>
      </c>
      <c r="B54" s="3" t="s">
        <v>42</v>
      </c>
      <c r="C54" s="5" t="s">
        <v>448</v>
      </c>
      <c r="D54" s="3" t="s">
        <v>1322</v>
      </c>
      <c r="E54" s="5" t="s">
        <v>449</v>
      </c>
      <c r="F54" s="6">
        <v>27905</v>
      </c>
      <c r="G54" s="6">
        <v>35638</v>
      </c>
      <c r="H54" s="3" t="s">
        <v>129</v>
      </c>
      <c r="I54" s="3" t="s">
        <v>45</v>
      </c>
      <c r="J54" s="3" t="s">
        <v>119</v>
      </c>
      <c r="K54" s="3" t="s">
        <v>450</v>
      </c>
      <c r="L54" s="5" t="s">
        <v>110</v>
      </c>
      <c r="M54" s="6">
        <v>45787</v>
      </c>
      <c r="N54" s="5" t="s">
        <v>48</v>
      </c>
      <c r="O54" s="3" t="s">
        <v>49</v>
      </c>
      <c r="P54" s="5" t="s">
        <v>139</v>
      </c>
      <c r="Q54" s="3" t="s">
        <v>51</v>
      </c>
      <c r="R54" s="6">
        <v>45791</v>
      </c>
      <c r="S54" s="5" t="s">
        <v>451</v>
      </c>
      <c r="T54" s="5" t="s">
        <v>452</v>
      </c>
      <c r="U54" s="5" t="s">
        <v>452</v>
      </c>
      <c r="V54" s="5" t="e">
        <f>VLOOKUP(D54,[3]HC!$D$5:$V$108,19,0)</f>
        <v>#N/A</v>
      </c>
      <c r="W54" s="5">
        <v>43927</v>
      </c>
      <c r="X54" s="5"/>
      <c r="Y54" s="5" t="s">
        <v>55</v>
      </c>
      <c r="Z54" s="3" t="s">
        <v>453</v>
      </c>
      <c r="AA54" s="3" t="s">
        <v>57</v>
      </c>
      <c r="AB54" s="5"/>
      <c r="AC54" s="3">
        <v>30874714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ht="60" x14ac:dyDescent="0.25">
      <c r="A55" s="3">
        <v>51</v>
      </c>
      <c r="B55" s="3" t="s">
        <v>42</v>
      </c>
      <c r="C55" s="4" t="s">
        <v>1151</v>
      </c>
      <c r="D55" s="3" t="s">
        <v>1152</v>
      </c>
      <c r="E55" s="5" t="s">
        <v>454</v>
      </c>
      <c r="F55" s="6">
        <v>24593</v>
      </c>
      <c r="G55" s="6">
        <v>33066</v>
      </c>
      <c r="H55" s="3" t="s">
        <v>129</v>
      </c>
      <c r="I55" s="3" t="s">
        <v>45</v>
      </c>
      <c r="J55" s="3" t="s">
        <v>108</v>
      </c>
      <c r="K55" s="3" t="s">
        <v>167</v>
      </c>
      <c r="L55" s="5" t="s">
        <v>455</v>
      </c>
      <c r="M55" s="6">
        <v>45574</v>
      </c>
      <c r="N55" s="5" t="s">
        <v>48</v>
      </c>
      <c r="O55" s="3" t="s">
        <v>49</v>
      </c>
      <c r="P55" s="5" t="s">
        <v>111</v>
      </c>
      <c r="Q55" s="3" t="s">
        <v>51</v>
      </c>
      <c r="R55" s="6">
        <v>45582</v>
      </c>
      <c r="S55" s="5" t="s">
        <v>456</v>
      </c>
      <c r="T55" s="5" t="s">
        <v>457</v>
      </c>
      <c r="U55" s="5" t="s">
        <v>457</v>
      </c>
      <c r="V55" s="5"/>
      <c r="W55" s="5"/>
      <c r="X55" s="5" t="s">
        <v>458</v>
      </c>
      <c r="Y55" s="5" t="s">
        <v>72</v>
      </c>
      <c r="Z55" s="3" t="s">
        <v>459</v>
      </c>
      <c r="AA55" s="3" t="s">
        <v>460</v>
      </c>
      <c r="AB55" s="5" t="s">
        <v>127</v>
      </c>
      <c r="AC55" s="3">
        <v>30485227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ht="60" x14ac:dyDescent="0.25">
      <c r="A56" s="3">
        <v>52</v>
      </c>
      <c r="B56" s="3" t="s">
        <v>42</v>
      </c>
      <c r="C56" s="4" t="s">
        <v>1153</v>
      </c>
      <c r="D56" s="3" t="s">
        <v>1154</v>
      </c>
      <c r="E56" s="5" t="s">
        <v>461</v>
      </c>
      <c r="F56" s="6">
        <v>28277</v>
      </c>
      <c r="G56" s="6">
        <v>37139</v>
      </c>
      <c r="H56" s="3" t="s">
        <v>462</v>
      </c>
      <c r="I56" s="3" t="s">
        <v>463</v>
      </c>
      <c r="J56" s="3" t="s">
        <v>463</v>
      </c>
      <c r="K56" s="3" t="s">
        <v>464</v>
      </c>
      <c r="L56" s="5" t="s">
        <v>196</v>
      </c>
      <c r="M56" s="6">
        <v>38912</v>
      </c>
      <c r="N56" s="5" t="s">
        <v>48</v>
      </c>
      <c r="O56" s="3" t="s">
        <v>49</v>
      </c>
      <c r="P56" s="5" t="s">
        <v>333</v>
      </c>
      <c r="Q56" s="3" t="s">
        <v>51</v>
      </c>
      <c r="R56" s="6">
        <v>45891</v>
      </c>
      <c r="S56" s="5" t="s">
        <v>465</v>
      </c>
      <c r="T56" s="5" t="s">
        <v>466</v>
      </c>
      <c r="U56" s="5" t="s">
        <v>467</v>
      </c>
      <c r="V56" s="5">
        <v>44009</v>
      </c>
      <c r="W56" s="5" t="s">
        <v>71</v>
      </c>
      <c r="X56" s="5" t="s">
        <v>45</v>
      </c>
      <c r="Y56" s="5" t="s">
        <v>55</v>
      </c>
      <c r="Z56" s="3" t="s">
        <v>468</v>
      </c>
      <c r="AA56" s="3" t="s">
        <v>85</v>
      </c>
      <c r="AB56" s="5"/>
      <c r="AC56" s="3">
        <v>31283205</v>
      </c>
      <c r="AD56" s="5" t="s">
        <v>274</v>
      </c>
      <c r="AE56" s="5"/>
      <c r="AF56" s="5"/>
      <c r="AG56" s="5" t="s">
        <v>36</v>
      </c>
      <c r="AH56" s="5"/>
      <c r="AI56" s="5"/>
      <c r="AJ56" s="5"/>
      <c r="AK56" s="5"/>
      <c r="AL56" s="5"/>
      <c r="AM56" s="5"/>
      <c r="AN56" s="5"/>
    </row>
    <row r="57" spans="1:40" ht="60" x14ac:dyDescent="0.25">
      <c r="A57" s="3">
        <v>53</v>
      </c>
      <c r="B57" s="3" t="s">
        <v>42</v>
      </c>
      <c r="C57" s="4" t="s">
        <v>1155</v>
      </c>
      <c r="D57" s="3" t="s">
        <v>1156</v>
      </c>
      <c r="E57" s="5" t="s">
        <v>469</v>
      </c>
      <c r="F57" s="6">
        <v>25355</v>
      </c>
      <c r="G57" s="6">
        <v>34217</v>
      </c>
      <c r="H57" s="3" t="s">
        <v>44</v>
      </c>
      <c r="I57" s="3" t="s">
        <v>45</v>
      </c>
      <c r="J57" s="3" t="s">
        <v>45</v>
      </c>
      <c r="K57" s="3" t="s">
        <v>220</v>
      </c>
      <c r="L57" s="5" t="s">
        <v>213</v>
      </c>
      <c r="M57" s="6">
        <v>45708</v>
      </c>
      <c r="N57" s="5" t="s">
        <v>197</v>
      </c>
      <c r="O57" s="3" t="s">
        <v>49</v>
      </c>
      <c r="P57" s="5" t="s">
        <v>242</v>
      </c>
      <c r="Q57" s="3" t="s">
        <v>51</v>
      </c>
      <c r="R57" s="6">
        <v>45808</v>
      </c>
      <c r="S57" s="5" t="s">
        <v>470</v>
      </c>
      <c r="T57" s="5" t="s">
        <v>471</v>
      </c>
      <c r="U57" s="5" t="s">
        <v>471</v>
      </c>
      <c r="V57" s="5" t="s">
        <v>321</v>
      </c>
      <c r="W57" s="5">
        <v>44349</v>
      </c>
      <c r="X57" s="5"/>
      <c r="Y57" s="5" t="s">
        <v>55</v>
      </c>
      <c r="Z57" s="3" t="s">
        <v>472</v>
      </c>
      <c r="AA57" s="3" t="s">
        <v>85</v>
      </c>
      <c r="AB57" s="5"/>
      <c r="AC57" s="3">
        <v>30475551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ht="90" x14ac:dyDescent="0.25">
      <c r="A58" s="3">
        <v>54</v>
      </c>
      <c r="B58" s="3" t="s">
        <v>42</v>
      </c>
      <c r="C58" s="4" t="s">
        <v>1157</v>
      </c>
      <c r="D58" s="3" t="s">
        <v>1158</v>
      </c>
      <c r="E58" s="5" t="s">
        <v>473</v>
      </c>
      <c r="F58" s="6">
        <v>29698</v>
      </c>
      <c r="G58" s="6">
        <v>37512</v>
      </c>
      <c r="H58" s="3" t="s">
        <v>77</v>
      </c>
      <c r="I58" s="3" t="s">
        <v>45</v>
      </c>
      <c r="J58" s="3" t="s">
        <v>108</v>
      </c>
      <c r="K58" s="3" t="s">
        <v>332</v>
      </c>
      <c r="L58" s="5"/>
      <c r="M58" s="6">
        <v>37512</v>
      </c>
      <c r="N58" s="5" t="s">
        <v>340</v>
      </c>
      <c r="O58" s="3" t="s">
        <v>49</v>
      </c>
      <c r="P58" s="5" t="s">
        <v>333</v>
      </c>
      <c r="Q58" s="3" t="s">
        <v>51</v>
      </c>
      <c r="R58" s="6">
        <v>45891</v>
      </c>
      <c r="S58" s="5" t="s">
        <v>474</v>
      </c>
      <c r="T58" s="5" t="s">
        <v>475</v>
      </c>
      <c r="U58" s="5" t="s">
        <v>475</v>
      </c>
      <c r="V58" s="5" t="s">
        <v>71</v>
      </c>
      <c r="W58" s="5">
        <v>42698</v>
      </c>
      <c r="X58" s="5" t="s">
        <v>45</v>
      </c>
      <c r="Y58" s="5" t="s">
        <v>55</v>
      </c>
      <c r="Z58" s="3" t="s">
        <v>476</v>
      </c>
      <c r="AA58" s="3" t="s">
        <v>85</v>
      </c>
      <c r="AB58" s="5" t="s">
        <v>477</v>
      </c>
      <c r="AC58" s="3">
        <v>30950394</v>
      </c>
      <c r="AD58" s="5"/>
      <c r="AE58" s="5"/>
      <c r="AF58" s="5" t="s">
        <v>478</v>
      </c>
      <c r="AG58" s="5" t="s">
        <v>246</v>
      </c>
      <c r="AH58" s="5" t="s">
        <v>37</v>
      </c>
      <c r="AI58" s="5" t="s">
        <v>38</v>
      </c>
      <c r="AJ58" s="5" t="s">
        <v>39</v>
      </c>
      <c r="AK58" s="5"/>
      <c r="AL58" s="5"/>
      <c r="AM58" s="5"/>
      <c r="AN58" s="5"/>
    </row>
    <row r="59" spans="1:40" ht="75" x14ac:dyDescent="0.25">
      <c r="A59" s="3">
        <v>55</v>
      </c>
      <c r="B59" s="3" t="s">
        <v>42</v>
      </c>
      <c r="C59" s="4" t="s">
        <v>1159</v>
      </c>
      <c r="D59" s="3" t="s">
        <v>1160</v>
      </c>
      <c r="E59" s="5" t="s">
        <v>479</v>
      </c>
      <c r="F59" s="6">
        <v>25906</v>
      </c>
      <c r="G59" s="6">
        <v>34224</v>
      </c>
      <c r="H59" s="3" t="s">
        <v>77</v>
      </c>
      <c r="I59" s="3" t="s">
        <v>45</v>
      </c>
      <c r="J59" s="3" t="s">
        <v>46</v>
      </c>
      <c r="K59" s="3" t="s">
        <v>480</v>
      </c>
      <c r="L59" s="5" t="s">
        <v>277</v>
      </c>
      <c r="M59" s="6">
        <v>45240</v>
      </c>
      <c r="N59" s="5" t="s">
        <v>48</v>
      </c>
      <c r="O59" s="3" t="s">
        <v>481</v>
      </c>
      <c r="P59" s="5" t="s">
        <v>482</v>
      </c>
      <c r="Q59" s="7" t="s">
        <v>483</v>
      </c>
      <c r="R59" s="6">
        <v>45245</v>
      </c>
      <c r="S59" s="5" t="s">
        <v>484</v>
      </c>
      <c r="T59" s="5" t="s">
        <v>485</v>
      </c>
      <c r="U59" s="5" t="s">
        <v>485</v>
      </c>
      <c r="V59" s="5" t="s">
        <v>55</v>
      </c>
      <c r="W59" s="5" t="s">
        <v>55</v>
      </c>
      <c r="X59" s="5" t="s">
        <v>486</v>
      </c>
      <c r="Y59" s="5" t="s">
        <v>55</v>
      </c>
      <c r="Z59" s="3" t="s">
        <v>487</v>
      </c>
      <c r="AA59" s="3" t="s">
        <v>85</v>
      </c>
      <c r="AB59" s="5" t="s">
        <v>127</v>
      </c>
      <c r="AC59" s="3">
        <v>30494366</v>
      </c>
      <c r="AD59" s="5"/>
      <c r="AE59" s="5"/>
      <c r="AF59" s="5">
        <v>263</v>
      </c>
      <c r="AG59" s="5"/>
      <c r="AH59" s="5"/>
      <c r="AI59" s="5"/>
      <c r="AJ59" s="5"/>
      <c r="AK59" s="5"/>
      <c r="AL59" s="5"/>
      <c r="AM59" s="5"/>
      <c r="AN59" s="5"/>
    </row>
    <row r="60" spans="1:40" ht="60" x14ac:dyDescent="0.25">
      <c r="A60" s="3">
        <v>56</v>
      </c>
      <c r="B60" s="3" t="s">
        <v>42</v>
      </c>
      <c r="C60" s="4" t="s">
        <v>1161</v>
      </c>
      <c r="D60" s="3" t="s">
        <v>1162</v>
      </c>
      <c r="E60" s="5" t="s">
        <v>488</v>
      </c>
      <c r="F60" s="6">
        <v>24942</v>
      </c>
      <c r="G60" s="6">
        <v>33147</v>
      </c>
      <c r="H60" s="3" t="s">
        <v>77</v>
      </c>
      <c r="I60" s="3" t="s">
        <v>45</v>
      </c>
      <c r="J60" s="3" t="s">
        <v>45</v>
      </c>
      <c r="K60" s="3" t="s">
        <v>410</v>
      </c>
      <c r="L60" s="5" t="s">
        <v>277</v>
      </c>
      <c r="M60" s="6">
        <v>45240</v>
      </c>
      <c r="N60" s="5" t="s">
        <v>250</v>
      </c>
      <c r="O60" s="3" t="s">
        <v>49</v>
      </c>
      <c r="P60" s="5" t="s">
        <v>111</v>
      </c>
      <c r="Q60" s="3" t="s">
        <v>51</v>
      </c>
      <c r="R60" s="6">
        <v>45612</v>
      </c>
      <c r="S60" s="5" t="s">
        <v>489</v>
      </c>
      <c r="T60" s="5" t="s">
        <v>490</v>
      </c>
      <c r="U60" s="5" t="s">
        <v>490</v>
      </c>
      <c r="V60" s="5" t="s">
        <v>55</v>
      </c>
      <c r="W60" s="5" t="s">
        <v>55</v>
      </c>
      <c r="X60" s="5" t="s">
        <v>55</v>
      </c>
      <c r="Y60" s="5" t="s">
        <v>72</v>
      </c>
      <c r="Z60" s="3" t="s">
        <v>491</v>
      </c>
      <c r="AA60" s="3" t="s">
        <v>115</v>
      </c>
      <c r="AB60" s="5" t="s">
        <v>86</v>
      </c>
      <c r="AC60" s="3">
        <v>30476053</v>
      </c>
      <c r="AD60" s="5"/>
      <c r="AE60" s="5"/>
      <c r="AF60" s="5">
        <v>795</v>
      </c>
      <c r="AG60" s="5"/>
      <c r="AH60" s="5" t="s">
        <v>37</v>
      </c>
      <c r="AI60" s="5" t="s">
        <v>38</v>
      </c>
      <c r="AJ60" s="5"/>
      <c r="AK60" s="5"/>
      <c r="AL60" s="5"/>
      <c r="AM60" s="5"/>
      <c r="AN60" s="5"/>
    </row>
    <row r="61" spans="1:40" ht="60" x14ac:dyDescent="0.25">
      <c r="A61" s="3">
        <v>57</v>
      </c>
      <c r="B61" s="3" t="s">
        <v>42</v>
      </c>
      <c r="C61" s="4" t="s">
        <v>1163</v>
      </c>
      <c r="D61" s="3" t="s">
        <v>1164</v>
      </c>
      <c r="E61" s="5" t="s">
        <v>492</v>
      </c>
      <c r="F61" s="6">
        <v>27895</v>
      </c>
      <c r="G61" s="6">
        <v>35478</v>
      </c>
      <c r="H61" s="3" t="s">
        <v>129</v>
      </c>
      <c r="I61" s="3" t="s">
        <v>45</v>
      </c>
      <c r="J61" s="3" t="s">
        <v>45</v>
      </c>
      <c r="K61" s="3" t="s">
        <v>89</v>
      </c>
      <c r="L61" s="5" t="s">
        <v>90</v>
      </c>
      <c r="M61" s="6">
        <v>45519</v>
      </c>
      <c r="N61" s="5" t="s">
        <v>48</v>
      </c>
      <c r="O61" s="3" t="s">
        <v>493</v>
      </c>
      <c r="P61" s="5" t="s">
        <v>494</v>
      </c>
      <c r="Q61" s="3" t="s">
        <v>223</v>
      </c>
      <c r="R61" s="6">
        <v>45547</v>
      </c>
      <c r="S61" s="5" t="s">
        <v>495</v>
      </c>
      <c r="T61" s="5" t="s">
        <v>496</v>
      </c>
      <c r="U61" s="5" t="s">
        <v>496</v>
      </c>
      <c r="V61" s="5" t="s">
        <v>71</v>
      </c>
      <c r="W61" s="5" t="s">
        <v>321</v>
      </c>
      <c r="X61" s="5"/>
      <c r="Y61" s="5" t="s">
        <v>55</v>
      </c>
      <c r="Z61" s="3" t="s">
        <v>497</v>
      </c>
      <c r="AA61" s="3" t="s">
        <v>85</v>
      </c>
      <c r="AB61" s="5" t="s">
        <v>498</v>
      </c>
      <c r="AC61" s="3">
        <v>31424169</v>
      </c>
      <c r="AD61" s="5" t="s">
        <v>274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ht="60" x14ac:dyDescent="0.25">
      <c r="A62" s="3">
        <v>58</v>
      </c>
      <c r="B62" s="3" t="s">
        <v>42</v>
      </c>
      <c r="C62" s="4" t="s">
        <v>499</v>
      </c>
      <c r="D62" s="3" t="s">
        <v>1323</v>
      </c>
      <c r="E62" s="5" t="s">
        <v>500</v>
      </c>
      <c r="F62" s="6">
        <v>30933</v>
      </c>
      <c r="G62" s="6">
        <v>38905</v>
      </c>
      <c r="H62" s="3" t="s">
        <v>462</v>
      </c>
      <c r="I62" s="3" t="s">
        <v>45</v>
      </c>
      <c r="J62" s="3" t="s">
        <v>119</v>
      </c>
      <c r="K62" s="3" t="s">
        <v>450</v>
      </c>
      <c r="L62" s="5" t="s">
        <v>501</v>
      </c>
      <c r="M62" s="6">
        <v>45713</v>
      </c>
      <c r="N62" s="5" t="s">
        <v>48</v>
      </c>
      <c r="O62" s="3" t="s">
        <v>49</v>
      </c>
      <c r="P62" s="5" t="s">
        <v>178</v>
      </c>
      <c r="Q62" s="3" t="s">
        <v>51</v>
      </c>
      <c r="R62" s="6">
        <v>45717</v>
      </c>
      <c r="S62" s="3" t="s">
        <v>502</v>
      </c>
      <c r="T62" s="5" t="s">
        <v>503</v>
      </c>
      <c r="U62" s="5" t="s">
        <v>503</v>
      </c>
      <c r="V62" s="5" t="s">
        <v>71</v>
      </c>
      <c r="W62" s="5" t="s">
        <v>261</v>
      </c>
      <c r="X62" s="5" t="s">
        <v>45</v>
      </c>
      <c r="Y62" s="5" t="s">
        <v>55</v>
      </c>
      <c r="Z62" s="3" t="s">
        <v>504</v>
      </c>
      <c r="AA62" s="3" t="s">
        <v>505</v>
      </c>
      <c r="AB62" s="5" t="s">
        <v>255</v>
      </c>
      <c r="AC62" s="3">
        <v>30475599</v>
      </c>
      <c r="AD62" s="5"/>
      <c r="AE62" s="5"/>
      <c r="AF62" s="5" t="s">
        <v>506</v>
      </c>
      <c r="AG62" s="5"/>
      <c r="AH62" s="5"/>
      <c r="AI62" s="5"/>
      <c r="AJ62" s="5"/>
      <c r="AK62" s="5"/>
      <c r="AL62" s="5"/>
      <c r="AM62" s="5"/>
      <c r="AN62" s="5"/>
    </row>
    <row r="63" spans="1:40" ht="60" x14ac:dyDescent="0.25">
      <c r="A63" s="3">
        <v>59</v>
      </c>
      <c r="B63" s="3" t="s">
        <v>42</v>
      </c>
      <c r="C63" s="4" t="s">
        <v>507</v>
      </c>
      <c r="D63" s="3" t="s">
        <v>1324</v>
      </c>
      <c r="E63" s="5" t="s">
        <v>508</v>
      </c>
      <c r="F63" s="6">
        <v>31427</v>
      </c>
      <c r="G63" s="6">
        <v>38912</v>
      </c>
      <c r="H63" s="3" t="s">
        <v>44</v>
      </c>
      <c r="I63" s="3" t="s">
        <v>45</v>
      </c>
      <c r="J63" s="3" t="s">
        <v>45</v>
      </c>
      <c r="K63" s="3" t="s">
        <v>267</v>
      </c>
      <c r="L63" s="5" t="s">
        <v>55</v>
      </c>
      <c r="M63" s="6">
        <v>38912</v>
      </c>
      <c r="N63" s="5" t="s">
        <v>232</v>
      </c>
      <c r="O63" s="3" t="s">
        <v>66</v>
      </c>
      <c r="P63" s="5" t="s">
        <v>509</v>
      </c>
      <c r="Q63" s="3" t="s">
        <v>68</v>
      </c>
      <c r="R63" s="6">
        <v>45808</v>
      </c>
      <c r="S63" s="5" t="s">
        <v>510</v>
      </c>
      <c r="T63" s="5" t="s">
        <v>511</v>
      </c>
      <c r="U63" s="5" t="s">
        <v>511</v>
      </c>
      <c r="V63" s="5" t="s">
        <v>71</v>
      </c>
      <c r="W63" s="5">
        <v>39272</v>
      </c>
      <c r="X63" s="5"/>
      <c r="Y63" s="5" t="s">
        <v>55</v>
      </c>
      <c r="Z63" s="3" t="s">
        <v>512</v>
      </c>
      <c r="AA63" s="3" t="s">
        <v>85</v>
      </c>
      <c r="AB63" s="5" t="s">
        <v>164</v>
      </c>
      <c r="AC63" s="3">
        <v>30476004</v>
      </c>
      <c r="AD63" s="5"/>
      <c r="AE63" s="5"/>
      <c r="AF63" s="5"/>
      <c r="AG63" s="5"/>
      <c r="AH63" s="5"/>
      <c r="AI63" s="5"/>
      <c r="AJ63" s="5"/>
      <c r="AK63" s="5"/>
      <c r="AL63" s="5">
        <v>45089</v>
      </c>
      <c r="AM63" s="5"/>
      <c r="AN63" s="5"/>
    </row>
    <row r="64" spans="1:40" ht="45" x14ac:dyDescent="0.25">
      <c r="A64" s="3">
        <v>60</v>
      </c>
      <c r="B64" s="3" t="s">
        <v>42</v>
      </c>
      <c r="C64" s="4" t="s">
        <v>513</v>
      </c>
      <c r="D64" s="3" t="s">
        <v>1325</v>
      </c>
      <c r="E64" s="5" t="s">
        <v>514</v>
      </c>
      <c r="F64" s="6">
        <v>31866</v>
      </c>
      <c r="G64" s="6">
        <v>38918</v>
      </c>
      <c r="H64" s="3" t="s">
        <v>129</v>
      </c>
      <c r="I64" s="3" t="s">
        <v>45</v>
      </c>
      <c r="J64" s="3" t="s">
        <v>45</v>
      </c>
      <c r="K64" s="3" t="s">
        <v>100</v>
      </c>
      <c r="L64" s="5" t="s">
        <v>130</v>
      </c>
      <c r="M64" s="6">
        <v>45559</v>
      </c>
      <c r="N64" s="5" t="s">
        <v>55</v>
      </c>
      <c r="O64" s="3" t="s">
        <v>121</v>
      </c>
      <c r="P64" s="5" t="s">
        <v>122</v>
      </c>
      <c r="Q64" s="3" t="s">
        <v>122</v>
      </c>
      <c r="R64" s="6">
        <v>41146</v>
      </c>
      <c r="S64" s="5" t="s">
        <v>515</v>
      </c>
      <c r="T64" s="5" t="s">
        <v>516</v>
      </c>
      <c r="U64" s="5" t="s">
        <v>517</v>
      </c>
      <c r="V64" s="5" t="s">
        <v>121</v>
      </c>
      <c r="W64" s="5" t="s">
        <v>121</v>
      </c>
      <c r="X64" s="5" t="s">
        <v>54</v>
      </c>
      <c r="Y64" s="5" t="s">
        <v>55</v>
      </c>
      <c r="Z64" s="3" t="s">
        <v>518</v>
      </c>
      <c r="AA64" s="3" t="s">
        <v>419</v>
      </c>
      <c r="AB64" s="5" t="s">
        <v>86</v>
      </c>
      <c r="AC64" s="3">
        <v>30476026</v>
      </c>
      <c r="AD64" s="5"/>
      <c r="AE64" s="5"/>
      <c r="AF64" s="5"/>
      <c r="AG64" s="5"/>
      <c r="AH64" s="5"/>
      <c r="AI64" s="5"/>
      <c r="AJ64" s="5"/>
      <c r="AK64" s="5"/>
      <c r="AL64" s="5" t="s">
        <v>121</v>
      </c>
      <c r="AM64" s="5" t="s">
        <v>122</v>
      </c>
      <c r="AN64" s="5" t="s">
        <v>122</v>
      </c>
    </row>
    <row r="65" spans="1:40" ht="45" x14ac:dyDescent="0.25">
      <c r="A65" s="3">
        <v>61</v>
      </c>
      <c r="B65" s="3" t="s">
        <v>42</v>
      </c>
      <c r="C65" s="4" t="s">
        <v>1165</v>
      </c>
      <c r="D65" s="3" t="s">
        <v>1166</v>
      </c>
      <c r="E65" s="5" t="s">
        <v>519</v>
      </c>
      <c r="F65" s="6">
        <v>26794</v>
      </c>
      <c r="G65" s="6">
        <v>33975</v>
      </c>
      <c r="H65" s="3" t="s">
        <v>129</v>
      </c>
      <c r="I65" s="3" t="s">
        <v>212</v>
      </c>
      <c r="J65" s="3" t="s">
        <v>212</v>
      </c>
      <c r="K65" s="3" t="s">
        <v>520</v>
      </c>
      <c r="L65" s="5" t="s">
        <v>277</v>
      </c>
      <c r="M65" s="6">
        <v>45240</v>
      </c>
      <c r="N65" s="5"/>
      <c r="O65" s="3" t="s">
        <v>48</v>
      </c>
      <c r="P65" s="5" t="s">
        <v>48</v>
      </c>
      <c r="Q65" s="3" t="s">
        <v>347</v>
      </c>
      <c r="R65" s="6">
        <v>45243</v>
      </c>
      <c r="S65" s="5" t="s">
        <v>521</v>
      </c>
      <c r="T65" s="5" t="s">
        <v>522</v>
      </c>
      <c r="U65" s="5" t="s">
        <v>522</v>
      </c>
      <c r="V65" s="5" t="s">
        <v>55</v>
      </c>
      <c r="W65" s="5" t="s">
        <v>55</v>
      </c>
      <c r="X65" s="5" t="s">
        <v>45</v>
      </c>
      <c r="Y65" s="5" t="s">
        <v>72</v>
      </c>
      <c r="Z65" s="3" t="s">
        <v>523</v>
      </c>
      <c r="AA65" s="3" t="s">
        <v>57</v>
      </c>
      <c r="AB65" s="5" t="s">
        <v>143</v>
      </c>
      <c r="AC65" s="3">
        <v>30271960</v>
      </c>
      <c r="AD65" s="5"/>
      <c r="AE65" s="5"/>
      <c r="AF65" s="5" t="s">
        <v>524</v>
      </c>
      <c r="AG65" s="5"/>
      <c r="AH65" s="5"/>
      <c r="AI65" s="5"/>
      <c r="AJ65" s="5"/>
      <c r="AK65" s="5"/>
      <c r="AL65" s="5"/>
      <c r="AM65" s="5"/>
      <c r="AN65" s="5"/>
    </row>
    <row r="66" spans="1:40" ht="75" x14ac:dyDescent="0.25">
      <c r="A66" s="3">
        <v>62</v>
      </c>
      <c r="B66" s="3" t="s">
        <v>42</v>
      </c>
      <c r="C66" s="4" t="s">
        <v>1167</v>
      </c>
      <c r="D66" s="3" t="s">
        <v>1168</v>
      </c>
      <c r="E66" s="5" t="s">
        <v>525</v>
      </c>
      <c r="F66" s="6">
        <v>27939</v>
      </c>
      <c r="G66" s="6">
        <v>36178</v>
      </c>
      <c r="H66" s="3" t="s">
        <v>44</v>
      </c>
      <c r="I66" s="3" t="s">
        <v>45</v>
      </c>
      <c r="J66" s="3" t="s">
        <v>45</v>
      </c>
      <c r="K66" s="3" t="s">
        <v>318</v>
      </c>
      <c r="L66" s="5" t="s">
        <v>47</v>
      </c>
      <c r="M66" s="6">
        <v>45491</v>
      </c>
      <c r="N66" s="5" t="s">
        <v>268</v>
      </c>
      <c r="O66" s="3" t="s">
        <v>49</v>
      </c>
      <c r="P66" s="5" t="s">
        <v>91</v>
      </c>
      <c r="Q66" s="3" t="s">
        <v>51</v>
      </c>
      <c r="R66" s="6">
        <v>45523</v>
      </c>
      <c r="S66" s="5" t="s">
        <v>526</v>
      </c>
      <c r="T66" s="5" t="s">
        <v>527</v>
      </c>
      <c r="U66" s="5" t="s">
        <v>527</v>
      </c>
      <c r="V66" s="5" t="s">
        <v>71</v>
      </c>
      <c r="W66" s="5" t="s">
        <v>71</v>
      </c>
      <c r="X66" s="5"/>
      <c r="Y66" s="5" t="s">
        <v>55</v>
      </c>
      <c r="Z66" s="3" t="s">
        <v>528</v>
      </c>
      <c r="AA66" s="3" t="s">
        <v>105</v>
      </c>
      <c r="AB66" s="5" t="s">
        <v>202</v>
      </c>
      <c r="AC66" s="3">
        <v>30475705</v>
      </c>
      <c r="AD66" s="5" t="s">
        <v>274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ht="75" x14ac:dyDescent="0.25">
      <c r="A67" s="3">
        <v>63</v>
      </c>
      <c r="B67" s="3" t="s">
        <v>42</v>
      </c>
      <c r="C67" s="4" t="s">
        <v>1169</v>
      </c>
      <c r="D67" s="3" t="s">
        <v>1170</v>
      </c>
      <c r="E67" s="5" t="s">
        <v>529</v>
      </c>
      <c r="F67" s="6">
        <v>28590</v>
      </c>
      <c r="G67" s="6">
        <v>35607</v>
      </c>
      <c r="H67" s="3" t="s">
        <v>129</v>
      </c>
      <c r="I67" s="3" t="s">
        <v>45</v>
      </c>
      <c r="J67" s="3" t="s">
        <v>119</v>
      </c>
      <c r="K67" s="3" t="s">
        <v>120</v>
      </c>
      <c r="L67" s="5" t="s">
        <v>530</v>
      </c>
      <c r="M67" s="6">
        <v>45372</v>
      </c>
      <c r="N67" s="5" t="s">
        <v>50</v>
      </c>
      <c r="O67" s="3" t="s">
        <v>49</v>
      </c>
      <c r="P67" s="5" t="s">
        <v>389</v>
      </c>
      <c r="Q67" s="3" t="s">
        <v>51</v>
      </c>
      <c r="R67" s="6">
        <v>45891</v>
      </c>
      <c r="S67" s="5" t="s">
        <v>531</v>
      </c>
      <c r="T67" s="5" t="s">
        <v>532</v>
      </c>
      <c r="U67" s="5" t="s">
        <v>532</v>
      </c>
      <c r="V67" s="5">
        <v>40631</v>
      </c>
      <c r="W67" s="5">
        <v>43187</v>
      </c>
      <c r="X67" s="5" t="s">
        <v>45</v>
      </c>
      <c r="Y67" s="5" t="s">
        <v>55</v>
      </c>
      <c r="Z67" s="3" t="s">
        <v>533</v>
      </c>
      <c r="AA67" s="3" t="s">
        <v>534</v>
      </c>
      <c r="AB67" s="5" t="s">
        <v>477</v>
      </c>
      <c r="AC67" s="3">
        <v>30949627</v>
      </c>
      <c r="AD67" s="5"/>
      <c r="AE67" s="5"/>
      <c r="AF67" s="5" t="s">
        <v>535</v>
      </c>
      <c r="AG67" s="5" t="s">
        <v>36</v>
      </c>
      <c r="AH67" s="5"/>
      <c r="AI67" s="5" t="s">
        <v>38</v>
      </c>
      <c r="AJ67" s="5" t="s">
        <v>39</v>
      </c>
      <c r="AK67" s="5"/>
      <c r="AL67" s="5"/>
      <c r="AM67" s="5"/>
      <c r="AN67" s="5"/>
    </row>
    <row r="68" spans="1:40" ht="60" x14ac:dyDescent="0.25">
      <c r="A68" s="3">
        <v>64</v>
      </c>
      <c r="B68" s="3" t="s">
        <v>42</v>
      </c>
      <c r="C68" s="4" t="s">
        <v>1171</v>
      </c>
      <c r="D68" s="3" t="s">
        <v>1172</v>
      </c>
      <c r="E68" s="5" t="s">
        <v>536</v>
      </c>
      <c r="F68" s="6">
        <v>30317</v>
      </c>
      <c r="G68" s="6">
        <v>37121</v>
      </c>
      <c r="H68" s="3" t="s">
        <v>129</v>
      </c>
      <c r="I68" s="3" t="s">
        <v>300</v>
      </c>
      <c r="J68" s="3" t="s">
        <v>300</v>
      </c>
      <c r="K68" s="3" t="s">
        <v>537</v>
      </c>
      <c r="L68" s="5" t="s">
        <v>213</v>
      </c>
      <c r="M68" s="6">
        <v>45397</v>
      </c>
      <c r="N68" s="5" t="s">
        <v>214</v>
      </c>
      <c r="O68" s="3" t="s">
        <v>49</v>
      </c>
      <c r="P68" s="5" t="s">
        <v>81</v>
      </c>
      <c r="Q68" s="3" t="s">
        <v>51</v>
      </c>
      <c r="R68" s="6">
        <v>45871</v>
      </c>
      <c r="S68" s="5" t="s">
        <v>538</v>
      </c>
      <c r="T68" s="5" t="s">
        <v>539</v>
      </c>
      <c r="U68" s="5" t="s">
        <v>539</v>
      </c>
      <c r="V68" s="5"/>
      <c r="W68" s="5"/>
      <c r="X68" s="5" t="s">
        <v>300</v>
      </c>
      <c r="Y68" s="5" t="s">
        <v>72</v>
      </c>
      <c r="Z68" s="3" t="s">
        <v>540</v>
      </c>
      <c r="AA68" s="3" t="s">
        <v>57</v>
      </c>
      <c r="AB68" s="5" t="s">
        <v>541</v>
      </c>
      <c r="AC68" s="3">
        <v>30909970</v>
      </c>
      <c r="AD68" s="5"/>
      <c r="AE68" s="5"/>
      <c r="AF68" s="5"/>
      <c r="AG68" s="5" t="s">
        <v>36</v>
      </c>
      <c r="AH68" s="5"/>
      <c r="AI68" s="5" t="s">
        <v>38</v>
      </c>
      <c r="AJ68" s="5" t="s">
        <v>39</v>
      </c>
      <c r="AK68" s="5" t="s">
        <v>40</v>
      </c>
      <c r="AL68" s="5"/>
      <c r="AM68" s="5"/>
      <c r="AN68" s="5"/>
    </row>
    <row r="69" spans="1:40" ht="75" x14ac:dyDescent="0.25">
      <c r="A69" s="3">
        <v>65</v>
      </c>
      <c r="B69" s="3" t="s">
        <v>42</v>
      </c>
      <c r="C69" s="4" t="s">
        <v>1173</v>
      </c>
      <c r="D69" s="3" t="s">
        <v>1174</v>
      </c>
      <c r="E69" s="5" t="s">
        <v>542</v>
      </c>
      <c r="F69" s="6">
        <v>27773</v>
      </c>
      <c r="G69" s="6">
        <v>36267</v>
      </c>
      <c r="H69" s="3" t="s">
        <v>44</v>
      </c>
      <c r="I69" s="3" t="s">
        <v>45</v>
      </c>
      <c r="J69" s="3" t="s">
        <v>119</v>
      </c>
      <c r="K69" s="3" t="s">
        <v>258</v>
      </c>
      <c r="L69" s="5" t="s">
        <v>90</v>
      </c>
      <c r="M69" s="6">
        <v>45160</v>
      </c>
      <c r="N69" s="5" t="s">
        <v>91</v>
      </c>
      <c r="O69" s="3" t="s">
        <v>221</v>
      </c>
      <c r="P69" s="5" t="s">
        <v>543</v>
      </c>
      <c r="Q69" s="3" t="s">
        <v>544</v>
      </c>
      <c r="R69" s="6">
        <v>45166</v>
      </c>
      <c r="S69" s="5" t="s">
        <v>545</v>
      </c>
      <c r="T69" s="5" t="s">
        <v>546</v>
      </c>
      <c r="U69" s="5" t="s">
        <v>546</v>
      </c>
      <c r="V69" s="5" t="s">
        <v>55</v>
      </c>
      <c r="W69" s="5" t="s">
        <v>55</v>
      </c>
      <c r="X69" s="5" t="s">
        <v>547</v>
      </c>
      <c r="Y69" s="5" t="s">
        <v>172</v>
      </c>
      <c r="Z69" s="3" t="s">
        <v>548</v>
      </c>
      <c r="AA69" s="3" t="s">
        <v>57</v>
      </c>
      <c r="AB69" s="5" t="s">
        <v>549</v>
      </c>
      <c r="AC69" s="3">
        <v>30279727</v>
      </c>
      <c r="AD69" s="5"/>
      <c r="AE69" s="5"/>
      <c r="AF69" s="5" t="s">
        <v>550</v>
      </c>
      <c r="AG69" s="5"/>
      <c r="AH69" s="5"/>
      <c r="AI69" s="5"/>
      <c r="AJ69" s="5"/>
      <c r="AK69" s="5"/>
      <c r="AL69" s="5"/>
      <c r="AM69" s="5"/>
      <c r="AN69" s="5"/>
    </row>
    <row r="70" spans="1:40" ht="25.5" x14ac:dyDescent="0.25">
      <c r="A70" s="3">
        <v>66</v>
      </c>
      <c r="B70" s="3" t="s">
        <v>42</v>
      </c>
      <c r="C70" s="8" t="s">
        <v>551</v>
      </c>
      <c r="D70" s="9" t="s">
        <v>1326</v>
      </c>
      <c r="E70" s="10" t="s">
        <v>238</v>
      </c>
      <c r="F70" s="11">
        <v>31414</v>
      </c>
      <c r="G70" s="11">
        <v>38315</v>
      </c>
      <c r="H70" s="12" t="s">
        <v>44</v>
      </c>
      <c r="I70" s="13" t="s">
        <v>45</v>
      </c>
      <c r="J70" s="14" t="s">
        <v>119</v>
      </c>
      <c r="K70" s="15" t="s">
        <v>120</v>
      </c>
      <c r="L70" s="16" t="s">
        <v>130</v>
      </c>
      <c r="M70" s="16">
        <v>45617</v>
      </c>
      <c r="N70" s="15" t="s">
        <v>55</v>
      </c>
      <c r="O70" s="17" t="s">
        <v>121</v>
      </c>
      <c r="P70" s="15" t="s">
        <v>122</v>
      </c>
      <c r="Q70" s="20" t="s">
        <v>122</v>
      </c>
      <c r="R70" s="19">
        <v>40038</v>
      </c>
      <c r="S70" s="20" t="s">
        <v>552</v>
      </c>
      <c r="T70" s="21" t="s">
        <v>553</v>
      </c>
      <c r="U70" s="21" t="s">
        <v>554</v>
      </c>
      <c r="V70" s="22" t="s">
        <v>121</v>
      </c>
      <c r="W70" s="23" t="s">
        <v>121</v>
      </c>
      <c r="X70" s="23" t="s">
        <v>54</v>
      </c>
      <c r="Y70" s="24" t="s">
        <v>55</v>
      </c>
      <c r="Z70" s="25" t="s">
        <v>555</v>
      </c>
      <c r="AA70" s="15" t="s">
        <v>57</v>
      </c>
      <c r="AB70" s="17" t="s">
        <v>556</v>
      </c>
      <c r="AC70" s="17">
        <v>31304500</v>
      </c>
      <c r="AD70" s="17"/>
      <c r="AE70" s="17"/>
      <c r="AF70" s="17"/>
      <c r="AG70" s="17"/>
      <c r="AH70" s="17"/>
      <c r="AI70" s="17"/>
      <c r="AJ70" s="26"/>
      <c r="AK70" s="26"/>
      <c r="AL70" s="17" t="s">
        <v>121</v>
      </c>
      <c r="AM70" s="27" t="s">
        <v>122</v>
      </c>
      <c r="AN70" s="12" t="s">
        <v>122</v>
      </c>
    </row>
    <row r="71" spans="1:40" ht="45" x14ac:dyDescent="0.25">
      <c r="A71" s="3">
        <v>67</v>
      </c>
      <c r="B71" s="3" t="s">
        <v>42</v>
      </c>
      <c r="C71" s="4" t="s">
        <v>1175</v>
      </c>
      <c r="D71" s="3" t="s">
        <v>1176</v>
      </c>
      <c r="E71" s="5" t="s">
        <v>557</v>
      </c>
      <c r="F71" s="6">
        <v>25996</v>
      </c>
      <c r="G71" s="6">
        <v>32972</v>
      </c>
      <c r="H71" s="3" t="s">
        <v>77</v>
      </c>
      <c r="I71" s="3" t="s">
        <v>300</v>
      </c>
      <c r="J71" s="3" t="s">
        <v>300</v>
      </c>
      <c r="K71" s="3" t="s">
        <v>558</v>
      </c>
      <c r="L71" s="5" t="s">
        <v>241</v>
      </c>
      <c r="M71" s="6">
        <v>44075</v>
      </c>
      <c r="N71" s="5" t="s">
        <v>389</v>
      </c>
      <c r="O71" s="3" t="s">
        <v>49</v>
      </c>
      <c r="P71" s="5" t="s">
        <v>340</v>
      </c>
      <c r="Q71" s="3" t="s">
        <v>51</v>
      </c>
      <c r="R71" s="6">
        <v>45891</v>
      </c>
      <c r="S71" s="5" t="s">
        <v>559</v>
      </c>
      <c r="T71" s="5" t="s">
        <v>560</v>
      </c>
      <c r="U71" s="5" t="s">
        <v>561</v>
      </c>
      <c r="V71" s="5" t="s">
        <v>55</v>
      </c>
      <c r="W71" s="5" t="s">
        <v>55</v>
      </c>
      <c r="X71" s="5" t="s">
        <v>55</v>
      </c>
      <c r="Y71" s="5" t="s">
        <v>72</v>
      </c>
      <c r="Z71" s="3" t="s">
        <v>562</v>
      </c>
      <c r="AA71" s="3" t="s">
        <v>57</v>
      </c>
      <c r="AB71" s="5" t="s">
        <v>86</v>
      </c>
      <c r="AC71" s="3">
        <v>30282493</v>
      </c>
      <c r="AD71" s="5" t="s">
        <v>55</v>
      </c>
      <c r="AE71" s="5" t="s">
        <v>55</v>
      </c>
      <c r="AF71" s="5" t="s">
        <v>55</v>
      </c>
      <c r="AG71" s="5"/>
      <c r="AH71" s="5"/>
      <c r="AI71" s="5"/>
      <c r="AJ71" s="5"/>
      <c r="AK71" s="5"/>
      <c r="AL71" s="5"/>
      <c r="AM71" s="5" t="s">
        <v>136</v>
      </c>
      <c r="AN71" s="5"/>
    </row>
    <row r="72" spans="1:40" ht="75" x14ac:dyDescent="0.25">
      <c r="A72" s="3">
        <v>68</v>
      </c>
      <c r="B72" s="3" t="s">
        <v>42</v>
      </c>
      <c r="C72" s="4" t="s">
        <v>563</v>
      </c>
      <c r="D72" s="3" t="s">
        <v>1327</v>
      </c>
      <c r="E72" s="5" t="s">
        <v>564</v>
      </c>
      <c r="F72" s="6">
        <v>30767</v>
      </c>
      <c r="G72" s="6">
        <v>38918</v>
      </c>
      <c r="H72" s="3" t="s">
        <v>129</v>
      </c>
      <c r="I72" s="3" t="s">
        <v>45</v>
      </c>
      <c r="J72" s="3" t="s">
        <v>108</v>
      </c>
      <c r="K72" s="3" t="s">
        <v>332</v>
      </c>
      <c r="L72" s="5" t="s">
        <v>130</v>
      </c>
      <c r="M72" s="6">
        <v>45081</v>
      </c>
      <c r="N72" s="5" t="s">
        <v>55</v>
      </c>
      <c r="O72" s="3" t="s">
        <v>121</v>
      </c>
      <c r="P72" s="5" t="s">
        <v>122</v>
      </c>
      <c r="Q72" s="3" t="s">
        <v>122</v>
      </c>
      <c r="R72" s="6">
        <v>41054</v>
      </c>
      <c r="S72" s="5" t="s">
        <v>565</v>
      </c>
      <c r="T72" s="5" t="s">
        <v>566</v>
      </c>
      <c r="U72" s="5" t="s">
        <v>566</v>
      </c>
      <c r="V72" s="5" t="s">
        <v>121</v>
      </c>
      <c r="W72" s="5" t="s">
        <v>121</v>
      </c>
      <c r="X72" s="5"/>
      <c r="Y72" s="5" t="s">
        <v>55</v>
      </c>
      <c r="Z72" s="3" t="s">
        <v>567</v>
      </c>
      <c r="AA72" s="3" t="s">
        <v>85</v>
      </c>
      <c r="AB72" s="5" t="s">
        <v>127</v>
      </c>
      <c r="AC72" s="3">
        <v>30475405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ht="60" x14ac:dyDescent="0.25">
      <c r="A73" s="3">
        <v>69</v>
      </c>
      <c r="B73" s="3" t="s">
        <v>42</v>
      </c>
      <c r="C73" s="4" t="s">
        <v>1177</v>
      </c>
      <c r="D73" s="40" t="s">
        <v>1178</v>
      </c>
      <c r="E73" s="5" t="s">
        <v>568</v>
      </c>
      <c r="F73" s="6">
        <v>28875</v>
      </c>
      <c r="G73" s="6">
        <v>36267</v>
      </c>
      <c r="H73" s="3" t="s">
        <v>77</v>
      </c>
      <c r="I73" s="3" t="s">
        <v>45</v>
      </c>
      <c r="J73" s="3" t="s">
        <v>119</v>
      </c>
      <c r="K73" s="3" t="s">
        <v>258</v>
      </c>
      <c r="L73" s="5" t="s">
        <v>90</v>
      </c>
      <c r="M73" s="6">
        <v>45160</v>
      </c>
      <c r="N73" s="5" t="s">
        <v>178</v>
      </c>
      <c r="O73" s="3" t="s">
        <v>49</v>
      </c>
      <c r="P73" s="5" t="s">
        <v>50</v>
      </c>
      <c r="Q73" s="3" t="s">
        <v>51</v>
      </c>
      <c r="R73" s="6">
        <v>45896</v>
      </c>
      <c r="S73" s="5" t="s">
        <v>569</v>
      </c>
      <c r="T73" s="5" t="s">
        <v>570</v>
      </c>
      <c r="U73" s="5" t="s">
        <v>570</v>
      </c>
      <c r="V73" s="5">
        <v>40749</v>
      </c>
      <c r="W73" s="5">
        <v>43153</v>
      </c>
      <c r="X73" s="5" t="s">
        <v>45</v>
      </c>
      <c r="Y73" s="5" t="s">
        <v>55</v>
      </c>
      <c r="Z73" s="3" t="s">
        <v>571</v>
      </c>
      <c r="AA73" s="3" t="s">
        <v>57</v>
      </c>
      <c r="AB73" s="5" t="s">
        <v>549</v>
      </c>
      <c r="AC73" s="3">
        <v>30475779</v>
      </c>
      <c r="AD73" s="5"/>
      <c r="AE73" s="5"/>
      <c r="AF73" s="5" t="s">
        <v>572</v>
      </c>
      <c r="AG73" s="5" t="s">
        <v>36</v>
      </c>
      <c r="AH73" s="5"/>
      <c r="AI73" s="5" t="s">
        <v>38</v>
      </c>
      <c r="AJ73" s="5"/>
      <c r="AK73" s="5"/>
      <c r="AL73" s="5"/>
      <c r="AM73" s="5" t="s">
        <v>136</v>
      </c>
      <c r="AN73" s="5"/>
    </row>
    <row r="74" spans="1:40" ht="75" x14ac:dyDescent="0.25">
      <c r="A74" s="3">
        <v>70</v>
      </c>
      <c r="B74" s="3" t="s">
        <v>42</v>
      </c>
      <c r="C74" s="4" t="s">
        <v>1179</v>
      </c>
      <c r="D74" s="3" t="s">
        <v>1180</v>
      </c>
      <c r="E74" s="5" t="s">
        <v>573</v>
      </c>
      <c r="F74" s="6">
        <v>26980</v>
      </c>
      <c r="G74" s="6">
        <v>36178</v>
      </c>
      <c r="H74" s="3" t="s">
        <v>44</v>
      </c>
      <c r="I74" s="3" t="s">
        <v>45</v>
      </c>
      <c r="J74" s="3" t="s">
        <v>45</v>
      </c>
      <c r="K74" s="3" t="s">
        <v>318</v>
      </c>
      <c r="L74" s="5" t="s">
        <v>130</v>
      </c>
      <c r="M74" s="6">
        <v>44286</v>
      </c>
      <c r="N74" s="5" t="s">
        <v>48</v>
      </c>
      <c r="O74" s="3" t="s">
        <v>49</v>
      </c>
      <c r="P74" s="5" t="s">
        <v>232</v>
      </c>
      <c r="Q74" s="3" t="s">
        <v>51</v>
      </c>
      <c r="R74" s="6">
        <v>45871</v>
      </c>
      <c r="S74" s="5" t="s">
        <v>574</v>
      </c>
      <c r="T74" s="5" t="s">
        <v>575</v>
      </c>
      <c r="U74" s="5" t="s">
        <v>575</v>
      </c>
      <c r="V74" s="5">
        <v>40749</v>
      </c>
      <c r="W74" s="5">
        <v>41029</v>
      </c>
      <c r="X74" s="5"/>
      <c r="Y74" s="5" t="s">
        <v>55</v>
      </c>
      <c r="Z74" s="3" t="s">
        <v>576</v>
      </c>
      <c r="AA74" s="3" t="s">
        <v>85</v>
      </c>
      <c r="AB74" s="5" t="s">
        <v>164</v>
      </c>
      <c r="AC74" s="3">
        <v>30269679</v>
      </c>
      <c r="AD74" s="5"/>
      <c r="AE74" s="5"/>
      <c r="AF74" s="5"/>
      <c r="AG74" s="5"/>
      <c r="AH74" s="5"/>
      <c r="AI74" s="5"/>
      <c r="AJ74" s="5"/>
      <c r="AK74" s="5"/>
      <c r="AL74" s="5"/>
      <c r="AM74" s="5" t="s">
        <v>136</v>
      </c>
      <c r="AN74" s="5"/>
    </row>
    <row r="75" spans="1:40" ht="75" x14ac:dyDescent="0.25">
      <c r="A75" s="3">
        <v>71</v>
      </c>
      <c r="B75" s="3" t="s">
        <v>42</v>
      </c>
      <c r="C75" s="4" t="s">
        <v>1181</v>
      </c>
      <c r="D75" s="3" t="s">
        <v>1182</v>
      </c>
      <c r="E75" s="5" t="s">
        <v>577</v>
      </c>
      <c r="F75" s="6">
        <v>28257</v>
      </c>
      <c r="G75" s="6">
        <v>36178</v>
      </c>
      <c r="H75" s="3" t="s">
        <v>129</v>
      </c>
      <c r="I75" s="3" t="s">
        <v>45</v>
      </c>
      <c r="J75" s="3" t="s">
        <v>108</v>
      </c>
      <c r="K75" s="3" t="s">
        <v>332</v>
      </c>
      <c r="L75" s="5" t="s">
        <v>241</v>
      </c>
      <c r="M75" s="6">
        <v>45286</v>
      </c>
      <c r="N75" s="5" t="s">
        <v>333</v>
      </c>
      <c r="O75" s="3" t="s">
        <v>49</v>
      </c>
      <c r="P75" s="5" t="s">
        <v>65</v>
      </c>
      <c r="Q75" s="3" t="s">
        <v>51</v>
      </c>
      <c r="R75" s="6">
        <v>45744</v>
      </c>
      <c r="S75" s="5" t="s">
        <v>578</v>
      </c>
      <c r="T75" s="5" t="s">
        <v>579</v>
      </c>
      <c r="U75" s="5" t="s">
        <v>579</v>
      </c>
      <c r="V75" s="5">
        <v>41080</v>
      </c>
      <c r="W75" s="5">
        <v>41127</v>
      </c>
      <c r="X75" s="5"/>
      <c r="Y75" s="5"/>
      <c r="Z75" s="3" t="s">
        <v>580</v>
      </c>
      <c r="AA75" s="3" t="s">
        <v>85</v>
      </c>
      <c r="AB75" s="5" t="s">
        <v>164</v>
      </c>
      <c r="AC75" s="3">
        <v>30475460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ht="45" x14ac:dyDescent="0.25">
      <c r="A76" s="3">
        <v>72</v>
      </c>
      <c r="B76" s="3" t="s">
        <v>42</v>
      </c>
      <c r="C76" s="4" t="s">
        <v>581</v>
      </c>
      <c r="D76" s="3" t="s">
        <v>1328</v>
      </c>
      <c r="E76" s="5" t="s">
        <v>582</v>
      </c>
      <c r="F76" s="6">
        <v>32325</v>
      </c>
      <c r="G76" s="6">
        <v>38905</v>
      </c>
      <c r="H76" s="3" t="s">
        <v>77</v>
      </c>
      <c r="I76" s="3" t="s">
        <v>300</v>
      </c>
      <c r="J76" s="3" t="s">
        <v>300</v>
      </c>
      <c r="K76" s="3" t="s">
        <v>311</v>
      </c>
      <c r="L76" s="5" t="s">
        <v>130</v>
      </c>
      <c r="M76" s="6">
        <v>45617</v>
      </c>
      <c r="N76" s="5" t="s">
        <v>583</v>
      </c>
      <c r="O76" s="3" t="s">
        <v>584</v>
      </c>
      <c r="P76" s="5" t="s">
        <v>583</v>
      </c>
      <c r="Q76" s="3" t="s">
        <v>68</v>
      </c>
      <c r="R76" s="6">
        <v>45316</v>
      </c>
      <c r="S76" s="5" t="s">
        <v>585</v>
      </c>
      <c r="T76" s="5" t="s">
        <v>586</v>
      </c>
      <c r="U76" s="5" t="s">
        <v>586</v>
      </c>
      <c r="V76" s="5">
        <v>42943</v>
      </c>
      <c r="W76" s="5">
        <v>42584</v>
      </c>
      <c r="X76" s="5" t="s">
        <v>45</v>
      </c>
      <c r="Y76" s="5" t="s">
        <v>55</v>
      </c>
      <c r="Z76" s="3" t="s">
        <v>587</v>
      </c>
      <c r="AA76" s="3" t="s">
        <v>115</v>
      </c>
      <c r="AB76" s="5" t="s">
        <v>588</v>
      </c>
      <c r="AC76" s="3">
        <v>30475905</v>
      </c>
      <c r="AD76" s="5"/>
      <c r="AE76" s="5" t="s">
        <v>165</v>
      </c>
      <c r="AF76" s="5"/>
      <c r="AG76" s="5"/>
      <c r="AH76" s="5"/>
      <c r="AI76" s="5"/>
      <c r="AJ76" s="5"/>
      <c r="AK76" s="5"/>
      <c r="AL76" s="5" t="s">
        <v>589</v>
      </c>
      <c r="AM76" s="5" t="s">
        <v>583</v>
      </c>
      <c r="AN76" s="5" t="s">
        <v>68</v>
      </c>
    </row>
    <row r="77" spans="1:40" ht="75" x14ac:dyDescent="0.25">
      <c r="A77" s="3">
        <v>73</v>
      </c>
      <c r="B77" s="3" t="s">
        <v>42</v>
      </c>
      <c r="C77" s="4" t="s">
        <v>1183</v>
      </c>
      <c r="D77" s="3" t="s">
        <v>1184</v>
      </c>
      <c r="E77" s="5" t="s">
        <v>590</v>
      </c>
      <c r="F77" s="6">
        <v>29940</v>
      </c>
      <c r="G77" s="6">
        <v>42730</v>
      </c>
      <c r="H77" s="3" t="s">
        <v>44</v>
      </c>
      <c r="I77" s="3" t="s">
        <v>45</v>
      </c>
      <c r="J77" s="3" t="s">
        <v>45</v>
      </c>
      <c r="K77" s="3" t="s">
        <v>267</v>
      </c>
      <c r="L77" s="5" t="s">
        <v>1329</v>
      </c>
      <c r="M77" s="6">
        <v>42798</v>
      </c>
      <c r="N77" s="5" t="s">
        <v>91</v>
      </c>
      <c r="O77" s="3" t="s">
        <v>158</v>
      </c>
      <c r="P77" s="5" t="s">
        <v>159</v>
      </c>
      <c r="Q77" s="3" t="s">
        <v>160</v>
      </c>
      <c r="R77" s="6">
        <v>45804</v>
      </c>
      <c r="S77" s="5" t="s">
        <v>591</v>
      </c>
      <c r="T77" s="5" t="s">
        <v>592</v>
      </c>
      <c r="U77" s="5" t="s">
        <v>593</v>
      </c>
      <c r="V77" s="5" t="s">
        <v>55</v>
      </c>
      <c r="W77" s="5" t="s">
        <v>55</v>
      </c>
      <c r="X77" s="5" t="s">
        <v>55</v>
      </c>
      <c r="Y77" s="5" t="s">
        <v>1318</v>
      </c>
      <c r="Z77" s="3" t="s">
        <v>594</v>
      </c>
      <c r="AA77" s="3" t="s">
        <v>201</v>
      </c>
      <c r="AB77" s="5" t="s">
        <v>97</v>
      </c>
      <c r="AC77" s="3">
        <v>30476002</v>
      </c>
      <c r="AD77" s="5"/>
      <c r="AE77" s="5"/>
      <c r="AF77" s="5"/>
      <c r="AG77" s="5" t="s">
        <v>36</v>
      </c>
      <c r="AH77" s="5"/>
      <c r="AI77" s="5" t="s">
        <v>38</v>
      </c>
      <c r="AJ77" s="5" t="s">
        <v>39</v>
      </c>
      <c r="AK77" s="5" t="s">
        <v>40</v>
      </c>
      <c r="AL77" s="5"/>
      <c r="AM77" s="5" t="s">
        <v>595</v>
      </c>
      <c r="AN77" s="5"/>
    </row>
    <row r="78" spans="1:40" ht="30" x14ac:dyDescent="0.25">
      <c r="A78" s="3">
        <v>74</v>
      </c>
      <c r="B78" s="3" t="s">
        <v>42</v>
      </c>
      <c r="C78" s="4" t="s">
        <v>1185</v>
      </c>
      <c r="D78" s="3" t="s">
        <v>1186</v>
      </c>
      <c r="E78" s="5" t="s">
        <v>596</v>
      </c>
      <c r="F78" s="6">
        <v>33464</v>
      </c>
      <c r="G78" s="6">
        <v>42730</v>
      </c>
      <c r="H78" s="3" t="s">
        <v>597</v>
      </c>
      <c r="I78" s="3" t="s">
        <v>45</v>
      </c>
      <c r="J78" s="3" t="s">
        <v>119</v>
      </c>
      <c r="K78" s="3" t="s">
        <v>305</v>
      </c>
      <c r="L78" s="5" t="s">
        <v>1329</v>
      </c>
      <c r="M78" s="6">
        <v>42798</v>
      </c>
      <c r="N78" s="5" t="s">
        <v>65</v>
      </c>
      <c r="O78" s="3" t="s">
        <v>121</v>
      </c>
      <c r="P78" s="5" t="s">
        <v>122</v>
      </c>
      <c r="Q78" s="3" t="s">
        <v>598</v>
      </c>
      <c r="R78" s="6">
        <v>44540</v>
      </c>
      <c r="S78" s="5" t="s">
        <v>599</v>
      </c>
      <c r="T78" s="5" t="s">
        <v>600</v>
      </c>
      <c r="U78" s="5" t="s">
        <v>600</v>
      </c>
      <c r="V78" s="5" t="s">
        <v>55</v>
      </c>
      <c r="W78" s="5" t="s">
        <v>55</v>
      </c>
      <c r="X78" s="5" t="s">
        <v>55</v>
      </c>
      <c r="Y78" s="5" t="s">
        <v>1318</v>
      </c>
      <c r="Z78" s="3" t="s">
        <v>601</v>
      </c>
      <c r="AA78" s="3" t="s">
        <v>115</v>
      </c>
      <c r="AB78" s="5" t="s">
        <v>164</v>
      </c>
      <c r="AC78" s="3">
        <v>31501794</v>
      </c>
      <c r="AD78" s="5"/>
      <c r="AE78" s="5"/>
      <c r="AF78" s="5"/>
      <c r="AG78" s="5"/>
      <c r="AH78" s="5"/>
      <c r="AI78" s="5"/>
      <c r="AJ78" s="5"/>
      <c r="AK78" s="5"/>
      <c r="AL78" s="5"/>
      <c r="AM78" s="5" t="s">
        <v>136</v>
      </c>
      <c r="AN78" s="5"/>
    </row>
    <row r="79" spans="1:40" ht="75" x14ac:dyDescent="0.25">
      <c r="A79" s="3">
        <v>75</v>
      </c>
      <c r="B79" s="3" t="s">
        <v>42</v>
      </c>
      <c r="C79" s="4" t="s">
        <v>1187</v>
      </c>
      <c r="D79" s="3" t="s">
        <v>1188</v>
      </c>
      <c r="E79" s="5" t="s">
        <v>98</v>
      </c>
      <c r="F79" s="6">
        <v>29257</v>
      </c>
      <c r="G79" s="6">
        <v>37512</v>
      </c>
      <c r="H79" s="3" t="s">
        <v>44</v>
      </c>
      <c r="I79" s="3" t="s">
        <v>45</v>
      </c>
      <c r="J79" s="3" t="s">
        <v>45</v>
      </c>
      <c r="K79" s="3" t="s">
        <v>100</v>
      </c>
      <c r="L79" s="5" t="s">
        <v>602</v>
      </c>
      <c r="M79" s="6">
        <v>44642</v>
      </c>
      <c r="N79" s="5" t="s">
        <v>178</v>
      </c>
      <c r="O79" s="3" t="s">
        <v>158</v>
      </c>
      <c r="P79" s="5" t="s">
        <v>159</v>
      </c>
      <c r="Q79" s="3" t="s">
        <v>603</v>
      </c>
      <c r="R79" s="6">
        <v>45799</v>
      </c>
      <c r="S79" s="5" t="s">
        <v>604</v>
      </c>
      <c r="T79" s="5" t="s">
        <v>605</v>
      </c>
      <c r="U79" s="5" t="s">
        <v>605</v>
      </c>
      <c r="V79" s="5" t="s">
        <v>71</v>
      </c>
      <c r="W79" s="5" t="s">
        <v>261</v>
      </c>
      <c r="X79" s="5"/>
      <c r="Y79" s="5" t="s">
        <v>55</v>
      </c>
      <c r="Z79" s="3" t="s">
        <v>606</v>
      </c>
      <c r="AA79" s="3" t="s">
        <v>57</v>
      </c>
      <c r="AB79" s="5" t="s">
        <v>607</v>
      </c>
      <c r="AC79" s="3">
        <v>30738478</v>
      </c>
      <c r="AD79" s="5"/>
      <c r="AE79" s="5"/>
      <c r="AF79" s="5" t="s">
        <v>608</v>
      </c>
      <c r="AG79" s="5"/>
      <c r="AH79" s="5"/>
      <c r="AI79" s="5" t="s">
        <v>38</v>
      </c>
      <c r="AJ79" s="5"/>
      <c r="AK79" s="5"/>
      <c r="AL79" s="5">
        <v>45056</v>
      </c>
      <c r="AM79" s="5"/>
      <c r="AN79" s="5"/>
    </row>
    <row r="80" spans="1:40" ht="75" x14ac:dyDescent="0.25">
      <c r="A80" s="3">
        <v>76</v>
      </c>
      <c r="B80" s="3" t="s">
        <v>42</v>
      </c>
      <c r="C80" s="4" t="s">
        <v>1189</v>
      </c>
      <c r="D80" s="3" t="s">
        <v>1190</v>
      </c>
      <c r="E80" s="5" t="s">
        <v>609</v>
      </c>
      <c r="F80" s="6">
        <v>26986</v>
      </c>
      <c r="G80" s="6">
        <v>35460</v>
      </c>
      <c r="H80" s="3" t="s">
        <v>77</v>
      </c>
      <c r="I80" s="3" t="s">
        <v>78</v>
      </c>
      <c r="J80" s="3" t="s">
        <v>610</v>
      </c>
      <c r="K80" s="3" t="s">
        <v>195</v>
      </c>
      <c r="L80" s="5" t="s">
        <v>130</v>
      </c>
      <c r="M80" s="6">
        <v>45012</v>
      </c>
      <c r="N80" s="5" t="s">
        <v>242</v>
      </c>
      <c r="O80" s="3" t="s">
        <v>49</v>
      </c>
      <c r="P80" s="5" t="s">
        <v>250</v>
      </c>
      <c r="Q80" s="3" t="s">
        <v>611</v>
      </c>
      <c r="R80" s="6">
        <v>45891</v>
      </c>
      <c r="S80" s="5" t="s">
        <v>612</v>
      </c>
      <c r="T80" s="5" t="s">
        <v>613</v>
      </c>
      <c r="U80" s="5" t="s">
        <v>613</v>
      </c>
      <c r="V80" s="5">
        <v>42698</v>
      </c>
      <c r="W80" s="5" t="s">
        <v>321</v>
      </c>
      <c r="X80" s="5"/>
      <c r="Y80" s="5" t="s">
        <v>55</v>
      </c>
      <c r="Z80" s="3" t="s">
        <v>614</v>
      </c>
      <c r="AA80" s="3" t="s">
        <v>85</v>
      </c>
      <c r="AB80" s="5"/>
      <c r="AC80" s="3">
        <v>30475467</v>
      </c>
      <c r="AD80" s="5" t="s">
        <v>274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ht="45" x14ac:dyDescent="0.25">
      <c r="A81" s="3">
        <v>77</v>
      </c>
      <c r="B81" s="3" t="s">
        <v>42</v>
      </c>
      <c r="C81" s="4" t="s">
        <v>1191</v>
      </c>
      <c r="D81" s="3" t="s">
        <v>1192</v>
      </c>
      <c r="E81" s="5" t="s">
        <v>615</v>
      </c>
      <c r="F81" s="6">
        <v>31112</v>
      </c>
      <c r="G81" s="6">
        <v>42730</v>
      </c>
      <c r="H81" s="3" t="s">
        <v>156</v>
      </c>
      <c r="I81" s="3" t="s">
        <v>45</v>
      </c>
      <c r="J81" s="3" t="s">
        <v>119</v>
      </c>
      <c r="K81" s="3" t="s">
        <v>258</v>
      </c>
      <c r="L81" s="5" t="s">
        <v>1329</v>
      </c>
      <c r="M81" s="6">
        <v>42798</v>
      </c>
      <c r="N81" s="5" t="s">
        <v>65</v>
      </c>
      <c r="O81" s="3" t="s">
        <v>49</v>
      </c>
      <c r="P81" s="5" t="s">
        <v>65</v>
      </c>
      <c r="Q81" s="3" t="s">
        <v>616</v>
      </c>
      <c r="R81" s="6">
        <v>45797</v>
      </c>
      <c r="S81" s="5" t="s">
        <v>617</v>
      </c>
      <c r="T81" s="5" t="s">
        <v>618</v>
      </c>
      <c r="U81" s="5" t="s">
        <v>618</v>
      </c>
      <c r="V81" s="5" t="s">
        <v>55</v>
      </c>
      <c r="W81" s="5" t="s">
        <v>55</v>
      </c>
      <c r="X81" s="5" t="s">
        <v>55</v>
      </c>
      <c r="Y81" s="5" t="s">
        <v>1318</v>
      </c>
      <c r="Z81" s="3" t="s">
        <v>619</v>
      </c>
      <c r="AA81" s="3" t="s">
        <v>57</v>
      </c>
      <c r="AB81" s="5" t="s">
        <v>620</v>
      </c>
      <c r="AC81" s="3">
        <v>31187826</v>
      </c>
      <c r="AD81" s="5"/>
      <c r="AE81" s="5"/>
      <c r="AF81" s="5"/>
      <c r="AG81" s="5" t="s">
        <v>36</v>
      </c>
      <c r="AH81" s="5"/>
      <c r="AI81" s="5" t="s">
        <v>38</v>
      </c>
      <c r="AJ81" s="5" t="s">
        <v>39</v>
      </c>
      <c r="AK81" s="5" t="s">
        <v>40</v>
      </c>
      <c r="AL81" s="5"/>
      <c r="AM81" s="5" t="s">
        <v>136</v>
      </c>
      <c r="AN81" s="5"/>
    </row>
    <row r="82" spans="1:40" ht="75" x14ac:dyDescent="0.25">
      <c r="A82" s="3">
        <v>78</v>
      </c>
      <c r="B82" s="3" t="s">
        <v>42</v>
      </c>
      <c r="C82" s="4" t="s">
        <v>1193</v>
      </c>
      <c r="D82" s="3" t="s">
        <v>1194</v>
      </c>
      <c r="E82" s="5" t="s">
        <v>621</v>
      </c>
      <c r="F82" s="6">
        <v>32582</v>
      </c>
      <c r="G82" s="6">
        <v>42730</v>
      </c>
      <c r="H82" s="3" t="s">
        <v>44</v>
      </c>
      <c r="I82" s="3" t="s">
        <v>45</v>
      </c>
      <c r="J82" s="3" t="s">
        <v>119</v>
      </c>
      <c r="K82" s="3" t="s">
        <v>305</v>
      </c>
      <c r="L82" s="5" t="s">
        <v>1329</v>
      </c>
      <c r="M82" s="6">
        <v>42798</v>
      </c>
      <c r="N82" s="5" t="s">
        <v>65</v>
      </c>
      <c r="O82" s="3" t="s">
        <v>49</v>
      </c>
      <c r="P82" s="5" t="s">
        <v>214</v>
      </c>
      <c r="Q82" s="3" t="s">
        <v>51</v>
      </c>
      <c r="R82" s="6">
        <v>45612</v>
      </c>
      <c r="S82" s="5" t="s">
        <v>622</v>
      </c>
      <c r="T82" s="5" t="s">
        <v>623</v>
      </c>
      <c r="U82" s="5" t="s">
        <v>623</v>
      </c>
      <c r="V82" s="5" t="s">
        <v>55</v>
      </c>
      <c r="W82" s="5" t="s">
        <v>55</v>
      </c>
      <c r="X82" s="5" t="s">
        <v>55</v>
      </c>
      <c r="Y82" s="5" t="s">
        <v>1318</v>
      </c>
      <c r="Z82" s="3" t="s">
        <v>624</v>
      </c>
      <c r="AA82" s="3" t="s">
        <v>57</v>
      </c>
      <c r="AB82" s="5" t="s">
        <v>549</v>
      </c>
      <c r="AC82" s="3">
        <v>31501367</v>
      </c>
      <c r="AD82" s="5"/>
      <c r="AE82" s="5"/>
      <c r="AF82" s="5"/>
      <c r="AG82" s="5" t="s">
        <v>246</v>
      </c>
      <c r="AH82" s="5" t="s">
        <v>37</v>
      </c>
      <c r="AI82" s="5"/>
      <c r="AJ82" s="5" t="s">
        <v>39</v>
      </c>
      <c r="AK82" s="5"/>
      <c r="AL82" s="5"/>
      <c r="AM82" s="5" t="s">
        <v>136</v>
      </c>
      <c r="AN82" s="5"/>
    </row>
    <row r="83" spans="1:40" ht="60" x14ac:dyDescent="0.25">
      <c r="A83" s="3">
        <v>79</v>
      </c>
      <c r="B83" s="3" t="s">
        <v>42</v>
      </c>
      <c r="C83" s="4" t="s">
        <v>1195</v>
      </c>
      <c r="D83" s="3" t="s">
        <v>1196</v>
      </c>
      <c r="E83" s="5" t="s">
        <v>625</v>
      </c>
      <c r="F83" s="6">
        <v>28836</v>
      </c>
      <c r="G83" s="6">
        <v>36204</v>
      </c>
      <c r="H83" s="3" t="s">
        <v>129</v>
      </c>
      <c r="I83" s="3" t="s">
        <v>45</v>
      </c>
      <c r="J83" s="3" t="s">
        <v>45</v>
      </c>
      <c r="K83" s="3" t="s">
        <v>410</v>
      </c>
      <c r="L83" s="5" t="s">
        <v>530</v>
      </c>
      <c r="M83" s="6">
        <v>45372</v>
      </c>
      <c r="N83" s="5" t="s">
        <v>48</v>
      </c>
      <c r="O83" s="3" t="s">
        <v>626</v>
      </c>
      <c r="P83" s="5" t="s">
        <v>268</v>
      </c>
      <c r="Q83" s="3" t="s">
        <v>223</v>
      </c>
      <c r="R83" s="6">
        <v>45514</v>
      </c>
      <c r="S83" s="5" t="s">
        <v>627</v>
      </c>
      <c r="T83" s="5" t="s">
        <v>628</v>
      </c>
      <c r="U83" s="5" t="s">
        <v>628</v>
      </c>
      <c r="V83" s="5">
        <v>37078</v>
      </c>
      <c r="W83" s="5">
        <v>44326</v>
      </c>
      <c r="X83" s="5"/>
      <c r="Y83" s="5" t="s">
        <v>55</v>
      </c>
      <c r="Z83" s="3" t="s">
        <v>629</v>
      </c>
      <c r="AA83" s="3" t="s">
        <v>85</v>
      </c>
      <c r="AB83" s="5" t="s">
        <v>630</v>
      </c>
      <c r="AC83" s="3">
        <v>30476041</v>
      </c>
      <c r="AD83" s="5" t="s">
        <v>274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ht="45" x14ac:dyDescent="0.25">
      <c r="A84" s="3">
        <v>80</v>
      </c>
      <c r="B84" s="3" t="s">
        <v>42</v>
      </c>
      <c r="C84" s="4" t="s">
        <v>631</v>
      </c>
      <c r="D84" s="3" t="s">
        <v>1330</v>
      </c>
      <c r="E84" s="5" t="s">
        <v>632</v>
      </c>
      <c r="F84" s="6">
        <v>29356</v>
      </c>
      <c r="G84" s="6">
        <v>37599</v>
      </c>
      <c r="H84" s="3" t="s">
        <v>129</v>
      </c>
      <c r="I84" s="3" t="s">
        <v>45</v>
      </c>
      <c r="J84" s="3" t="s">
        <v>119</v>
      </c>
      <c r="K84" s="3" t="s">
        <v>633</v>
      </c>
      <c r="L84" s="5" t="s">
        <v>90</v>
      </c>
      <c r="M84" s="6">
        <v>45717</v>
      </c>
      <c r="N84" s="5" t="s">
        <v>48</v>
      </c>
      <c r="O84" s="3" t="s">
        <v>49</v>
      </c>
      <c r="P84" s="5" t="s">
        <v>148</v>
      </c>
      <c r="Q84" s="3" t="s">
        <v>51</v>
      </c>
      <c r="R84" s="6">
        <v>45717</v>
      </c>
      <c r="S84" s="5" t="s">
        <v>634</v>
      </c>
      <c r="T84" s="5" t="s">
        <v>635</v>
      </c>
      <c r="U84" s="5" t="s">
        <v>635</v>
      </c>
      <c r="V84" s="5" t="s">
        <v>71</v>
      </c>
      <c r="W84" s="5" t="s">
        <v>71</v>
      </c>
      <c r="X84" s="5" t="s">
        <v>54</v>
      </c>
      <c r="Y84" s="5" t="s">
        <v>55</v>
      </c>
      <c r="Z84" s="3" t="s">
        <v>636</v>
      </c>
      <c r="AA84" s="3" t="s">
        <v>115</v>
      </c>
      <c r="AB84" s="5" t="s">
        <v>97</v>
      </c>
      <c r="AC84" s="3">
        <v>30949684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ht="60" x14ac:dyDescent="0.25">
      <c r="A85" s="3">
        <v>81</v>
      </c>
      <c r="B85" s="3" t="s">
        <v>42</v>
      </c>
      <c r="C85" s="4" t="s">
        <v>637</v>
      </c>
      <c r="D85" s="40" t="s">
        <v>1331</v>
      </c>
      <c r="E85" s="5" t="s">
        <v>638</v>
      </c>
      <c r="F85" s="6">
        <v>27559</v>
      </c>
      <c r="G85" s="6">
        <v>36300</v>
      </c>
      <c r="H85" s="3" t="s">
        <v>77</v>
      </c>
      <c r="I85" s="3" t="s">
        <v>45</v>
      </c>
      <c r="J85" s="3" t="s">
        <v>45</v>
      </c>
      <c r="K85" s="3" t="s">
        <v>100</v>
      </c>
      <c r="L85" s="5" t="s">
        <v>130</v>
      </c>
      <c r="M85" s="6">
        <v>45127</v>
      </c>
      <c r="N85" s="5" t="s">
        <v>48</v>
      </c>
      <c r="O85" s="3" t="s">
        <v>49</v>
      </c>
      <c r="P85" s="5" t="s">
        <v>91</v>
      </c>
      <c r="Q85" s="3" t="s">
        <v>51</v>
      </c>
      <c r="R85" s="6">
        <v>45855</v>
      </c>
      <c r="S85" s="5" t="s">
        <v>639</v>
      </c>
      <c r="T85" s="5" t="s">
        <v>640</v>
      </c>
      <c r="U85" s="5" t="s">
        <v>640</v>
      </c>
      <c r="V85" s="5" t="s">
        <v>71</v>
      </c>
      <c r="W85" s="5" t="s">
        <v>321</v>
      </c>
      <c r="X85" s="5" t="s">
        <v>45</v>
      </c>
      <c r="Y85" s="5" t="s">
        <v>55</v>
      </c>
      <c r="Z85" s="3" t="s">
        <v>641</v>
      </c>
      <c r="AA85" s="3" t="s">
        <v>85</v>
      </c>
      <c r="AB85" s="5" t="s">
        <v>164</v>
      </c>
      <c r="AC85" s="3">
        <v>30476043</v>
      </c>
      <c r="AD85" s="5" t="s">
        <v>274</v>
      </c>
      <c r="AE85" s="5"/>
      <c r="AF85" s="5"/>
      <c r="AG85" s="5" t="s">
        <v>36</v>
      </c>
      <c r="AH85" s="5"/>
      <c r="AI85" s="5"/>
      <c r="AJ85" s="5"/>
      <c r="AK85" s="5"/>
      <c r="AL85" s="5"/>
      <c r="AM85" s="5"/>
      <c r="AN85" s="5"/>
    </row>
    <row r="86" spans="1:40" ht="60" x14ac:dyDescent="0.25">
      <c r="A86" s="3">
        <v>82</v>
      </c>
      <c r="B86" s="3" t="s">
        <v>42</v>
      </c>
      <c r="C86" s="4" t="s">
        <v>1197</v>
      </c>
      <c r="D86" s="3" t="s">
        <v>1198</v>
      </c>
      <c r="E86" s="5" t="s">
        <v>642</v>
      </c>
      <c r="F86" s="6">
        <v>26299</v>
      </c>
      <c r="G86" s="6">
        <v>33162</v>
      </c>
      <c r="H86" s="3" t="s">
        <v>129</v>
      </c>
      <c r="I86" s="3" t="s">
        <v>45</v>
      </c>
      <c r="J86" s="3" t="s">
        <v>119</v>
      </c>
      <c r="K86" s="3" t="s">
        <v>176</v>
      </c>
      <c r="L86" s="5" t="s">
        <v>643</v>
      </c>
      <c r="M86" s="6">
        <v>39711</v>
      </c>
      <c r="N86" s="5" t="s">
        <v>340</v>
      </c>
      <c r="O86" s="3" t="s">
        <v>49</v>
      </c>
      <c r="P86" s="5" t="s">
        <v>169</v>
      </c>
      <c r="Q86" s="3" t="s">
        <v>51</v>
      </c>
      <c r="R86" s="6">
        <v>45603</v>
      </c>
      <c r="S86" s="5" t="s">
        <v>644</v>
      </c>
      <c r="T86" s="5" t="s">
        <v>645</v>
      </c>
      <c r="U86" s="5" t="s">
        <v>645</v>
      </c>
      <c r="V86" s="5">
        <v>42698</v>
      </c>
      <c r="W86" s="5">
        <v>43102</v>
      </c>
      <c r="X86" s="5"/>
      <c r="Y86" s="5" t="s">
        <v>55</v>
      </c>
      <c r="Z86" s="3" t="s">
        <v>646</v>
      </c>
      <c r="AA86" s="3" t="s">
        <v>57</v>
      </c>
      <c r="AB86" s="5"/>
      <c r="AC86" s="3">
        <v>30269052</v>
      </c>
      <c r="AD86" s="5" t="s">
        <v>274</v>
      </c>
      <c r="AE86" s="5"/>
      <c r="AF86" s="5"/>
      <c r="AG86" s="5" t="s">
        <v>36</v>
      </c>
      <c r="AH86" s="5"/>
      <c r="AI86" s="5" t="s">
        <v>38</v>
      </c>
      <c r="AJ86" s="5" t="s">
        <v>39</v>
      </c>
      <c r="AK86" s="5" t="s">
        <v>40</v>
      </c>
      <c r="AL86" s="5"/>
      <c r="AM86" s="5" t="s">
        <v>136</v>
      </c>
      <c r="AN86" s="5"/>
    </row>
    <row r="87" spans="1:40" ht="75" x14ac:dyDescent="0.25">
      <c r="A87" s="3">
        <v>83</v>
      </c>
      <c r="B87" s="3" t="s">
        <v>42</v>
      </c>
      <c r="C87" s="4" t="s">
        <v>1199</v>
      </c>
      <c r="D87" s="3" t="s">
        <v>1200</v>
      </c>
      <c r="E87" s="5" t="s">
        <v>647</v>
      </c>
      <c r="F87" s="6">
        <v>27292</v>
      </c>
      <c r="G87" s="6">
        <v>34756</v>
      </c>
      <c r="H87" s="3" t="s">
        <v>77</v>
      </c>
      <c r="I87" s="3" t="s">
        <v>45</v>
      </c>
      <c r="J87" s="3" t="s">
        <v>108</v>
      </c>
      <c r="K87" s="3" t="s">
        <v>167</v>
      </c>
      <c r="L87" s="5" t="s">
        <v>90</v>
      </c>
      <c r="M87" s="6">
        <v>44012</v>
      </c>
      <c r="N87" s="5" t="s">
        <v>48</v>
      </c>
      <c r="O87" s="3" t="s">
        <v>49</v>
      </c>
      <c r="P87" s="5" t="s">
        <v>139</v>
      </c>
      <c r="Q87" s="3" t="s">
        <v>51</v>
      </c>
      <c r="R87" s="6">
        <v>45891</v>
      </c>
      <c r="S87" s="5" t="s">
        <v>648</v>
      </c>
      <c r="T87" s="5" t="s">
        <v>649</v>
      </c>
      <c r="U87" s="5" t="s">
        <v>649</v>
      </c>
      <c r="V87" s="5" t="s">
        <v>55</v>
      </c>
      <c r="W87" s="5" t="s">
        <v>55</v>
      </c>
      <c r="X87" s="5" t="s">
        <v>530</v>
      </c>
      <c r="Y87" s="5" t="s">
        <v>72</v>
      </c>
      <c r="Z87" s="3" t="s">
        <v>650</v>
      </c>
      <c r="AA87" s="3" t="s">
        <v>85</v>
      </c>
      <c r="AB87" s="5" t="s">
        <v>323</v>
      </c>
      <c r="AC87" s="3">
        <v>30929163</v>
      </c>
      <c r="AD87" s="5"/>
      <c r="AE87" s="5"/>
      <c r="AF87" s="5">
        <v>1749</v>
      </c>
      <c r="AG87" s="5" t="s">
        <v>246</v>
      </c>
      <c r="AH87" s="5" t="s">
        <v>37</v>
      </c>
      <c r="AI87" s="5"/>
      <c r="AJ87" s="5" t="s">
        <v>39</v>
      </c>
      <c r="AK87" s="5" t="s">
        <v>40</v>
      </c>
      <c r="AL87" s="5"/>
      <c r="AM87" s="5" t="s">
        <v>136</v>
      </c>
      <c r="AN87" s="5"/>
    </row>
    <row r="88" spans="1:40" ht="45" x14ac:dyDescent="0.25">
      <c r="A88" s="3">
        <v>84</v>
      </c>
      <c r="B88" s="3" t="s">
        <v>42</v>
      </c>
      <c r="C88" s="4" t="s">
        <v>651</v>
      </c>
      <c r="D88" s="3" t="s">
        <v>1332</v>
      </c>
      <c r="E88" s="5" t="s">
        <v>652</v>
      </c>
      <c r="F88" s="6">
        <v>30025</v>
      </c>
      <c r="G88" s="6">
        <v>38912</v>
      </c>
      <c r="H88" s="3" t="s">
        <v>129</v>
      </c>
      <c r="I88" s="3" t="s">
        <v>45</v>
      </c>
      <c r="J88" s="3" t="s">
        <v>108</v>
      </c>
      <c r="K88" s="3" t="s">
        <v>206</v>
      </c>
      <c r="L88" s="5" t="s">
        <v>90</v>
      </c>
      <c r="M88" s="6">
        <v>45762</v>
      </c>
      <c r="N88" s="5" t="s">
        <v>48</v>
      </c>
      <c r="O88" s="3" t="s">
        <v>49</v>
      </c>
      <c r="P88" s="5" t="s">
        <v>177</v>
      </c>
      <c r="Q88" s="3" t="s">
        <v>51</v>
      </c>
      <c r="R88" s="6">
        <v>45785</v>
      </c>
      <c r="S88" s="5" t="s">
        <v>653</v>
      </c>
      <c r="T88" s="5" t="s">
        <v>654</v>
      </c>
      <c r="U88" s="5" t="s">
        <v>654</v>
      </c>
      <c r="V88" s="5">
        <v>40946</v>
      </c>
      <c r="W88" s="5" t="s">
        <v>261</v>
      </c>
      <c r="X88" s="5" t="s">
        <v>45</v>
      </c>
      <c r="Y88" s="5" t="s">
        <v>72</v>
      </c>
      <c r="Z88" s="3" t="s">
        <v>655</v>
      </c>
      <c r="AA88" s="3" t="s">
        <v>115</v>
      </c>
      <c r="AB88" s="5" t="s">
        <v>135</v>
      </c>
      <c r="AC88" s="3">
        <v>30475940</v>
      </c>
      <c r="AD88" s="5"/>
      <c r="AE88" s="5" t="s">
        <v>165</v>
      </c>
      <c r="AF88" s="5" t="s">
        <v>656</v>
      </c>
      <c r="AG88" s="5"/>
      <c r="AH88" s="5"/>
      <c r="AI88" s="5"/>
      <c r="AJ88" s="5"/>
      <c r="AK88" s="5"/>
      <c r="AL88" s="5"/>
      <c r="AM88" s="5"/>
      <c r="AN88" s="5"/>
    </row>
    <row r="89" spans="1:40" ht="60" x14ac:dyDescent="0.25">
      <c r="A89" s="3">
        <v>85</v>
      </c>
      <c r="B89" s="3" t="s">
        <v>42</v>
      </c>
      <c r="C89" s="4" t="s">
        <v>1201</v>
      </c>
      <c r="D89" s="3" t="s">
        <v>1202</v>
      </c>
      <c r="E89" s="5" t="s">
        <v>657</v>
      </c>
      <c r="F89" s="6">
        <v>24423</v>
      </c>
      <c r="G89" s="6">
        <v>36704</v>
      </c>
      <c r="H89" s="3" t="s">
        <v>77</v>
      </c>
      <c r="I89" s="3" t="s">
        <v>45</v>
      </c>
      <c r="J89" s="3" t="s">
        <v>45</v>
      </c>
      <c r="K89" s="3" t="s">
        <v>89</v>
      </c>
      <c r="L89" s="5" t="s">
        <v>658</v>
      </c>
      <c r="M89" s="6">
        <v>45306</v>
      </c>
      <c r="N89" s="5" t="s">
        <v>197</v>
      </c>
      <c r="O89" s="3" t="s">
        <v>48</v>
      </c>
      <c r="P89" s="5" t="s">
        <v>434</v>
      </c>
      <c r="Q89" s="3" t="s">
        <v>659</v>
      </c>
      <c r="R89" s="6">
        <v>45736</v>
      </c>
      <c r="S89" s="5" t="s">
        <v>660</v>
      </c>
      <c r="T89" s="5" t="s">
        <v>661</v>
      </c>
      <c r="U89" s="5" t="s">
        <v>661</v>
      </c>
      <c r="V89" s="5"/>
      <c r="W89" s="5"/>
      <c r="X89" s="5"/>
      <c r="Y89" s="5" t="s">
        <v>72</v>
      </c>
      <c r="Z89" s="3" t="s">
        <v>662</v>
      </c>
      <c r="AA89" s="3" t="s">
        <v>57</v>
      </c>
      <c r="AB89" s="5" t="s">
        <v>663</v>
      </c>
      <c r="AC89" s="3">
        <v>30098496</v>
      </c>
      <c r="AD89" s="5"/>
      <c r="AE89" s="5"/>
      <c r="AF89" s="5" t="s">
        <v>664</v>
      </c>
      <c r="AG89" s="5" t="s">
        <v>246</v>
      </c>
      <c r="AH89" s="5" t="s">
        <v>37</v>
      </c>
      <c r="AI89" s="5"/>
      <c r="AJ89" s="5" t="s">
        <v>39</v>
      </c>
      <c r="AK89" s="5" t="s">
        <v>40</v>
      </c>
      <c r="AL89" s="5"/>
      <c r="AM89" s="5"/>
      <c r="AN89" s="5"/>
    </row>
    <row r="90" spans="1:40" ht="60" x14ac:dyDescent="0.25">
      <c r="A90" s="3">
        <v>86</v>
      </c>
      <c r="B90" s="3" t="s">
        <v>42</v>
      </c>
      <c r="C90" s="4" t="s">
        <v>665</v>
      </c>
      <c r="D90" s="3" t="s">
        <v>1333</v>
      </c>
      <c r="E90" s="5" t="s">
        <v>666</v>
      </c>
      <c r="F90" s="6">
        <v>30058</v>
      </c>
      <c r="G90" s="6">
        <v>38875</v>
      </c>
      <c r="H90" s="3" t="s">
        <v>44</v>
      </c>
      <c r="I90" s="3" t="s">
        <v>45</v>
      </c>
      <c r="J90" s="3" t="s">
        <v>119</v>
      </c>
      <c r="K90" s="3" t="s">
        <v>176</v>
      </c>
      <c r="L90" s="5" t="s">
        <v>130</v>
      </c>
      <c r="M90" s="6">
        <v>45617</v>
      </c>
      <c r="N90" s="5" t="s">
        <v>139</v>
      </c>
      <c r="O90" s="3" t="s">
        <v>49</v>
      </c>
      <c r="P90" s="5" t="s">
        <v>197</v>
      </c>
      <c r="Q90" s="3" t="s">
        <v>51</v>
      </c>
      <c r="R90" s="6">
        <v>45800</v>
      </c>
      <c r="S90" s="4" t="s">
        <v>667</v>
      </c>
      <c r="T90" s="5" t="s">
        <v>668</v>
      </c>
      <c r="U90" s="5" t="s">
        <v>668</v>
      </c>
      <c r="V90" s="5">
        <v>45197</v>
      </c>
      <c r="W90" s="5" t="s">
        <v>261</v>
      </c>
      <c r="X90" s="5" t="s">
        <v>45</v>
      </c>
      <c r="Y90" s="5" t="s">
        <v>72</v>
      </c>
      <c r="Z90" s="3" t="s">
        <v>669</v>
      </c>
      <c r="AA90" s="3" t="s">
        <v>57</v>
      </c>
      <c r="AB90" s="5" t="s">
        <v>670</v>
      </c>
      <c r="AC90" s="3">
        <v>30475914</v>
      </c>
      <c r="AD90" s="5"/>
      <c r="AE90" s="5"/>
      <c r="AF90" s="5" t="s">
        <v>671</v>
      </c>
      <c r="AG90" s="5"/>
      <c r="AH90" s="5"/>
      <c r="AI90" s="5"/>
      <c r="AJ90" s="5"/>
      <c r="AK90" s="5"/>
      <c r="AL90" s="5" t="s">
        <v>49</v>
      </c>
      <c r="AM90" s="5" t="s">
        <v>139</v>
      </c>
      <c r="AN90" s="5" t="s">
        <v>101</v>
      </c>
    </row>
    <row r="91" spans="1:40" ht="45" x14ac:dyDescent="0.25">
      <c r="A91" s="3">
        <v>87</v>
      </c>
      <c r="B91" s="3" t="s">
        <v>42</v>
      </c>
      <c r="C91" s="4" t="s">
        <v>672</v>
      </c>
      <c r="D91" s="3" t="s">
        <v>1334</v>
      </c>
      <c r="E91" s="5" t="s">
        <v>568</v>
      </c>
      <c r="F91" s="6">
        <v>30798</v>
      </c>
      <c r="G91" s="6">
        <v>38905</v>
      </c>
      <c r="H91" s="3" t="s">
        <v>61</v>
      </c>
      <c r="I91" s="3" t="s">
        <v>212</v>
      </c>
      <c r="J91" s="3" t="s">
        <v>212</v>
      </c>
      <c r="K91" s="3" t="s">
        <v>673</v>
      </c>
      <c r="L91" s="5" t="s">
        <v>130</v>
      </c>
      <c r="M91" s="6">
        <v>45265</v>
      </c>
      <c r="N91" s="5" t="s">
        <v>178</v>
      </c>
      <c r="O91" s="3" t="s">
        <v>674</v>
      </c>
      <c r="P91" s="5" t="s">
        <v>675</v>
      </c>
      <c r="Q91" s="3" t="s">
        <v>223</v>
      </c>
      <c r="R91" s="6">
        <v>45648</v>
      </c>
      <c r="S91" s="5" t="s">
        <v>676</v>
      </c>
      <c r="T91" s="5" t="s">
        <v>677</v>
      </c>
      <c r="U91" s="5" t="s">
        <v>677</v>
      </c>
      <c r="V91" s="5" t="s">
        <v>71</v>
      </c>
      <c r="W91" s="5" t="s">
        <v>71</v>
      </c>
      <c r="X91" s="5" t="s">
        <v>45</v>
      </c>
      <c r="Y91" s="5" t="s">
        <v>55</v>
      </c>
      <c r="Z91" s="3" t="s">
        <v>678</v>
      </c>
      <c r="AA91" s="3" t="s">
        <v>57</v>
      </c>
      <c r="AB91" s="5" t="s">
        <v>679</v>
      </c>
      <c r="AC91" s="3">
        <v>30475999</v>
      </c>
      <c r="AD91" s="5"/>
      <c r="AE91" s="5"/>
      <c r="AF91" s="5" t="s">
        <v>680</v>
      </c>
      <c r="AG91" s="5"/>
      <c r="AH91" s="5"/>
      <c r="AI91" s="5"/>
      <c r="AJ91" s="5"/>
      <c r="AK91" s="5"/>
      <c r="AL91" s="5"/>
      <c r="AM91" s="5"/>
      <c r="AN91" s="5"/>
    </row>
    <row r="92" spans="1:40" ht="45" x14ac:dyDescent="0.25">
      <c r="A92" s="3">
        <v>88</v>
      </c>
      <c r="B92" s="3" t="s">
        <v>42</v>
      </c>
      <c r="C92" s="4" t="s">
        <v>1203</v>
      </c>
      <c r="D92" s="3" t="s">
        <v>1204</v>
      </c>
      <c r="E92" s="5" t="s">
        <v>681</v>
      </c>
      <c r="F92" s="6">
        <v>26420</v>
      </c>
      <c r="G92" s="6">
        <v>33182</v>
      </c>
      <c r="H92" s="3" t="s">
        <v>77</v>
      </c>
      <c r="I92" s="3" t="s">
        <v>45</v>
      </c>
      <c r="J92" s="3" t="s">
        <v>682</v>
      </c>
      <c r="K92" s="3" t="s">
        <v>480</v>
      </c>
      <c r="L92" s="5"/>
      <c r="M92" s="6">
        <v>33182</v>
      </c>
      <c r="N92" s="5" t="s">
        <v>91</v>
      </c>
      <c r="O92" s="3" t="s">
        <v>49</v>
      </c>
      <c r="P92" s="5" t="s">
        <v>232</v>
      </c>
      <c r="Q92" s="3" t="s">
        <v>51</v>
      </c>
      <c r="R92" s="6">
        <v>45603</v>
      </c>
      <c r="S92" s="5" t="s">
        <v>683</v>
      </c>
      <c r="T92" s="5" t="s">
        <v>684</v>
      </c>
      <c r="U92" s="5" t="s">
        <v>684</v>
      </c>
      <c r="V92" s="5">
        <v>41968</v>
      </c>
      <c r="W92" s="5" t="s">
        <v>71</v>
      </c>
      <c r="X92" s="5"/>
      <c r="Y92" s="5" t="s">
        <v>55</v>
      </c>
      <c r="Z92" s="3" t="s">
        <v>685</v>
      </c>
      <c r="AA92" s="3" t="s">
        <v>419</v>
      </c>
      <c r="AB92" s="5" t="s">
        <v>164</v>
      </c>
      <c r="AC92" s="3">
        <v>30475622</v>
      </c>
      <c r="AD92" s="5"/>
      <c r="AE92" s="5"/>
      <c r="AF92" s="5"/>
      <c r="AG92" s="5" t="s">
        <v>36</v>
      </c>
      <c r="AH92" s="5"/>
      <c r="AI92" s="5"/>
      <c r="AJ92" s="5" t="s">
        <v>39</v>
      </c>
      <c r="AK92" s="5" t="s">
        <v>40</v>
      </c>
      <c r="AL92" s="5"/>
      <c r="AM92" s="5" t="s">
        <v>136</v>
      </c>
      <c r="AN92" s="5"/>
    </row>
    <row r="93" spans="1:40" ht="25.5" x14ac:dyDescent="0.25">
      <c r="A93" s="3">
        <v>89</v>
      </c>
      <c r="B93" s="3" t="s">
        <v>42</v>
      </c>
      <c r="C93" s="8" t="s">
        <v>1205</v>
      </c>
      <c r="D93" s="9" t="s">
        <v>1206</v>
      </c>
      <c r="E93" s="10" t="s">
        <v>686</v>
      </c>
      <c r="F93" s="11">
        <v>26798</v>
      </c>
      <c r="G93" s="11">
        <v>34242</v>
      </c>
      <c r="H93" s="12" t="s">
        <v>77</v>
      </c>
      <c r="I93" s="13" t="s">
        <v>45</v>
      </c>
      <c r="J93" s="14" t="s">
        <v>45</v>
      </c>
      <c r="K93" s="15" t="s">
        <v>687</v>
      </c>
      <c r="L93" s="16" t="s">
        <v>688</v>
      </c>
      <c r="M93" s="16">
        <v>43712</v>
      </c>
      <c r="N93" s="15" t="s">
        <v>48</v>
      </c>
      <c r="O93" s="17" t="s">
        <v>49</v>
      </c>
      <c r="P93" s="15" t="s">
        <v>197</v>
      </c>
      <c r="Q93" s="18" t="s">
        <v>51</v>
      </c>
      <c r="R93" s="19">
        <v>45627</v>
      </c>
      <c r="S93" s="20" t="s">
        <v>689</v>
      </c>
      <c r="T93" s="21" t="s">
        <v>690</v>
      </c>
      <c r="U93" s="21" t="s">
        <v>690</v>
      </c>
      <c r="V93" s="23" t="s">
        <v>55</v>
      </c>
      <c r="W93" s="24" t="s">
        <v>55</v>
      </c>
      <c r="X93" s="25" t="s">
        <v>45</v>
      </c>
      <c r="Y93" s="15" t="s">
        <v>72</v>
      </c>
      <c r="Z93" s="17" t="s">
        <v>691</v>
      </c>
      <c r="AA93" s="17" t="s">
        <v>105</v>
      </c>
      <c r="AB93" s="17" t="s">
        <v>393</v>
      </c>
      <c r="AC93" s="17">
        <v>30475788</v>
      </c>
      <c r="AD93" s="17"/>
      <c r="AE93" s="17"/>
      <c r="AF93" s="17" t="s">
        <v>692</v>
      </c>
      <c r="AG93" s="41" t="s">
        <v>36</v>
      </c>
      <c r="AH93" s="42"/>
      <c r="AI93" s="26" t="s">
        <v>38</v>
      </c>
      <c r="AJ93" s="43" t="s">
        <v>39</v>
      </c>
      <c r="AK93" s="43"/>
      <c r="AL93" s="17"/>
      <c r="AM93" s="27" t="s">
        <v>136</v>
      </c>
      <c r="AN93" s="28"/>
    </row>
    <row r="94" spans="1:40" ht="60" x14ac:dyDescent="0.25">
      <c r="A94" s="3">
        <v>90</v>
      </c>
      <c r="B94" s="3" t="s">
        <v>42</v>
      </c>
      <c r="C94" s="4" t="s">
        <v>1207</v>
      </c>
      <c r="D94" s="3" t="s">
        <v>1208</v>
      </c>
      <c r="E94" s="5" t="s">
        <v>693</v>
      </c>
      <c r="F94" s="6">
        <v>26002</v>
      </c>
      <c r="G94" s="6">
        <v>34048</v>
      </c>
      <c r="H94" s="3" t="s">
        <v>77</v>
      </c>
      <c r="I94" s="3" t="s">
        <v>45</v>
      </c>
      <c r="J94" s="3" t="s">
        <v>119</v>
      </c>
      <c r="K94" s="3" t="s">
        <v>176</v>
      </c>
      <c r="L94" s="5" t="s">
        <v>277</v>
      </c>
      <c r="M94" s="6">
        <v>45240</v>
      </c>
      <c r="N94" s="5" t="s">
        <v>177</v>
      </c>
      <c r="O94" s="3" t="s">
        <v>49</v>
      </c>
      <c r="P94" s="5" t="s">
        <v>139</v>
      </c>
      <c r="Q94" s="3" t="s">
        <v>51</v>
      </c>
      <c r="R94" s="6">
        <v>45498</v>
      </c>
      <c r="S94" s="5" t="s">
        <v>694</v>
      </c>
      <c r="T94" s="5" t="s">
        <v>695</v>
      </c>
      <c r="U94" s="5" t="s">
        <v>695</v>
      </c>
      <c r="V94" s="5" t="s">
        <v>55</v>
      </c>
      <c r="W94" s="5" t="s">
        <v>55</v>
      </c>
      <c r="X94" s="5" t="s">
        <v>45</v>
      </c>
      <c r="Y94" s="5" t="s">
        <v>72</v>
      </c>
      <c r="Z94" s="3" t="s">
        <v>696</v>
      </c>
      <c r="AA94" s="3" t="s">
        <v>57</v>
      </c>
      <c r="AB94" s="5" t="s">
        <v>498</v>
      </c>
      <c r="AC94" s="3">
        <v>30475507</v>
      </c>
      <c r="AD94" s="5"/>
      <c r="AE94" s="5"/>
      <c r="AF94" s="5">
        <v>807</v>
      </c>
      <c r="AG94" s="5"/>
      <c r="AH94" s="5"/>
      <c r="AI94" s="5"/>
      <c r="AJ94" s="5"/>
      <c r="AK94" s="5"/>
      <c r="AL94" s="5"/>
      <c r="AM94" s="5"/>
      <c r="AN94" s="5"/>
    </row>
    <row r="95" spans="1:40" ht="75" x14ac:dyDescent="0.25">
      <c r="A95" s="3">
        <v>91</v>
      </c>
      <c r="B95" s="3" t="s">
        <v>42</v>
      </c>
      <c r="C95" s="4" t="s">
        <v>1209</v>
      </c>
      <c r="D95" s="3" t="s">
        <v>1210</v>
      </c>
      <c r="E95" s="5" t="s">
        <v>697</v>
      </c>
      <c r="F95" s="6">
        <v>24948</v>
      </c>
      <c r="G95" s="6">
        <v>32639</v>
      </c>
      <c r="H95" s="3" t="s">
        <v>77</v>
      </c>
      <c r="I95" s="3" t="s">
        <v>45</v>
      </c>
      <c r="J95" s="3" t="s">
        <v>119</v>
      </c>
      <c r="K95" s="3" t="s">
        <v>305</v>
      </c>
      <c r="L95" s="5" t="s">
        <v>90</v>
      </c>
      <c r="M95" s="6">
        <v>43924</v>
      </c>
      <c r="N95" s="5" t="s">
        <v>178</v>
      </c>
      <c r="O95" s="3" t="s">
        <v>49</v>
      </c>
      <c r="P95" s="5" t="s">
        <v>177</v>
      </c>
      <c r="Q95" s="3" t="s">
        <v>51</v>
      </c>
      <c r="R95" s="6">
        <v>45920</v>
      </c>
      <c r="S95" s="5" t="s">
        <v>698</v>
      </c>
      <c r="T95" s="5" t="s">
        <v>699</v>
      </c>
      <c r="U95" s="5" t="s">
        <v>699</v>
      </c>
      <c r="V95" s="5" t="s">
        <v>55</v>
      </c>
      <c r="W95" s="5" t="s">
        <v>55</v>
      </c>
      <c r="X95" s="5" t="s">
        <v>55</v>
      </c>
      <c r="Y95" s="5" t="s">
        <v>172</v>
      </c>
      <c r="Z95" s="3" t="s">
        <v>700</v>
      </c>
      <c r="AA95" s="3" t="s">
        <v>57</v>
      </c>
      <c r="AB95" s="5" t="s">
        <v>549</v>
      </c>
      <c r="AC95" s="3">
        <v>30494354</v>
      </c>
      <c r="AD95" s="5"/>
      <c r="AE95" s="5"/>
      <c r="AF95" s="5" t="s">
        <v>701</v>
      </c>
      <c r="AG95" s="5" t="s">
        <v>246</v>
      </c>
      <c r="AH95" s="5" t="s">
        <v>37</v>
      </c>
      <c r="AI95" s="5" t="s">
        <v>38</v>
      </c>
      <c r="AJ95" s="5" t="s">
        <v>39</v>
      </c>
      <c r="AK95" s="5" t="s">
        <v>40</v>
      </c>
      <c r="AL95" s="5"/>
      <c r="AM95" s="5" t="s">
        <v>595</v>
      </c>
      <c r="AN95" s="5"/>
    </row>
    <row r="96" spans="1:40" ht="45" x14ac:dyDescent="0.25">
      <c r="A96" s="3">
        <v>92</v>
      </c>
      <c r="B96" s="3" t="s">
        <v>42</v>
      </c>
      <c r="C96" s="4" t="s">
        <v>1211</v>
      </c>
      <c r="D96" s="3" t="s">
        <v>1212</v>
      </c>
      <c r="E96" s="5" t="s">
        <v>702</v>
      </c>
      <c r="F96" s="6">
        <v>27888</v>
      </c>
      <c r="G96" s="6">
        <v>35609</v>
      </c>
      <c r="H96" s="3" t="s">
        <v>77</v>
      </c>
      <c r="I96" s="3" t="s">
        <v>45</v>
      </c>
      <c r="J96" s="3" t="s">
        <v>45</v>
      </c>
      <c r="K96" s="3" t="s">
        <v>89</v>
      </c>
      <c r="L96" s="5" t="s">
        <v>47</v>
      </c>
      <c r="M96" s="6">
        <v>45084</v>
      </c>
      <c r="N96" s="5" t="s">
        <v>91</v>
      </c>
      <c r="O96" s="3" t="s">
        <v>49</v>
      </c>
      <c r="P96" s="5" t="s">
        <v>250</v>
      </c>
      <c r="Q96" s="3" t="s">
        <v>51</v>
      </c>
      <c r="R96" s="6">
        <v>45697</v>
      </c>
      <c r="S96" s="5" t="s">
        <v>703</v>
      </c>
      <c r="T96" s="5" t="s">
        <v>704</v>
      </c>
      <c r="U96" s="5" t="s">
        <v>704</v>
      </c>
      <c r="V96" s="5"/>
      <c r="W96" s="5"/>
      <c r="X96" s="5"/>
      <c r="Y96" s="5" t="s">
        <v>172</v>
      </c>
      <c r="Z96" s="3" t="s">
        <v>705</v>
      </c>
      <c r="AA96" s="3" t="s">
        <v>706</v>
      </c>
      <c r="AB96" s="5" t="s">
        <v>202</v>
      </c>
      <c r="AC96" s="3">
        <v>30120695</v>
      </c>
      <c r="AD96" s="5"/>
      <c r="AE96" s="5"/>
      <c r="AF96" s="5"/>
      <c r="AG96" s="5" t="s">
        <v>36</v>
      </c>
      <c r="AH96" s="5"/>
      <c r="AI96" s="5" t="s">
        <v>38</v>
      </c>
      <c r="AJ96" s="5" t="s">
        <v>39</v>
      </c>
      <c r="AK96" s="5" t="s">
        <v>40</v>
      </c>
      <c r="AL96" s="5"/>
      <c r="AM96" s="5"/>
      <c r="AN96" s="5"/>
    </row>
    <row r="97" spans="1:40" ht="75" x14ac:dyDescent="0.25">
      <c r="A97" s="3">
        <v>93</v>
      </c>
      <c r="B97" s="3" t="s">
        <v>42</v>
      </c>
      <c r="C97" s="4" t="s">
        <v>1213</v>
      </c>
      <c r="D97" s="3" t="s">
        <v>1214</v>
      </c>
      <c r="E97" s="5" t="s">
        <v>707</v>
      </c>
      <c r="F97" s="6">
        <v>28114</v>
      </c>
      <c r="G97" s="6">
        <v>35607</v>
      </c>
      <c r="H97" s="3" t="s">
        <v>708</v>
      </c>
      <c r="I97" s="3" t="s">
        <v>45</v>
      </c>
      <c r="J97" s="3" t="s">
        <v>46</v>
      </c>
      <c r="K97" s="3" t="s">
        <v>709</v>
      </c>
      <c r="L97" s="5" t="s">
        <v>277</v>
      </c>
      <c r="M97" s="6">
        <v>45240</v>
      </c>
      <c r="N97" s="5" t="s">
        <v>48</v>
      </c>
      <c r="O97" s="3" t="s">
        <v>493</v>
      </c>
      <c r="P97" s="5" t="s">
        <v>710</v>
      </c>
      <c r="Q97" s="3" t="s">
        <v>223</v>
      </c>
      <c r="R97" s="6">
        <v>45245</v>
      </c>
      <c r="S97" s="5" t="s">
        <v>711</v>
      </c>
      <c r="T97" s="5" t="s">
        <v>712</v>
      </c>
      <c r="U97" s="5" t="s">
        <v>712</v>
      </c>
      <c r="V97" s="5"/>
      <c r="W97" s="5"/>
      <c r="X97" s="5" t="s">
        <v>45</v>
      </c>
      <c r="Y97" s="5" t="s">
        <v>72</v>
      </c>
      <c r="Z97" s="3" t="s">
        <v>713</v>
      </c>
      <c r="AA97" s="3" t="s">
        <v>201</v>
      </c>
      <c r="AB97" s="5" t="s">
        <v>714</v>
      </c>
      <c r="AC97" s="3">
        <v>30272492</v>
      </c>
      <c r="AD97" s="5" t="s">
        <v>274</v>
      </c>
      <c r="AE97" s="5"/>
      <c r="AF97" s="5">
        <v>831</v>
      </c>
      <c r="AG97" s="5"/>
      <c r="AH97" s="5"/>
      <c r="AI97" s="5"/>
      <c r="AJ97" s="5"/>
      <c r="AK97" s="5"/>
      <c r="AL97" s="5"/>
      <c r="AM97" s="5"/>
      <c r="AN97" s="5"/>
    </row>
    <row r="98" spans="1:40" ht="60" x14ac:dyDescent="0.25">
      <c r="A98" s="3">
        <v>94</v>
      </c>
      <c r="B98" s="3" t="s">
        <v>42</v>
      </c>
      <c r="C98" s="4" t="s">
        <v>1215</v>
      </c>
      <c r="D98" s="3" t="s">
        <v>1216</v>
      </c>
      <c r="E98" s="5" t="s">
        <v>715</v>
      </c>
      <c r="F98" s="6">
        <v>27127</v>
      </c>
      <c r="G98" s="6">
        <v>34048</v>
      </c>
      <c r="H98" s="3" t="s">
        <v>716</v>
      </c>
      <c r="I98" s="3" t="s">
        <v>45</v>
      </c>
      <c r="J98" s="3" t="s">
        <v>119</v>
      </c>
      <c r="K98" s="3" t="s">
        <v>258</v>
      </c>
      <c r="L98" s="5" t="s">
        <v>277</v>
      </c>
      <c r="M98" s="6">
        <v>45240</v>
      </c>
      <c r="N98" s="5" t="s">
        <v>177</v>
      </c>
      <c r="O98" s="3" t="s">
        <v>158</v>
      </c>
      <c r="P98" s="5" t="s">
        <v>159</v>
      </c>
      <c r="Q98" s="3" t="s">
        <v>603</v>
      </c>
      <c r="R98" s="6">
        <v>45799</v>
      </c>
      <c r="S98" s="5" t="s">
        <v>717</v>
      </c>
      <c r="T98" s="5" t="s">
        <v>718</v>
      </c>
      <c r="U98" s="5" t="s">
        <v>719</v>
      </c>
      <c r="V98" s="5" t="s">
        <v>55</v>
      </c>
      <c r="W98" s="5" t="s">
        <v>55</v>
      </c>
      <c r="X98" s="5" t="s">
        <v>300</v>
      </c>
      <c r="Y98" s="5" t="s">
        <v>72</v>
      </c>
      <c r="Z98" s="3" t="s">
        <v>720</v>
      </c>
      <c r="AA98" s="3" t="s">
        <v>85</v>
      </c>
      <c r="AB98" s="5" t="s">
        <v>721</v>
      </c>
      <c r="AC98" s="3">
        <v>30560945</v>
      </c>
      <c r="AD98" s="5"/>
      <c r="AE98" s="5"/>
      <c r="AF98" s="5" t="s">
        <v>722</v>
      </c>
      <c r="AG98" s="5" t="s">
        <v>36</v>
      </c>
      <c r="AH98" s="5"/>
      <c r="AI98" s="5" t="s">
        <v>38</v>
      </c>
      <c r="AJ98" s="5" t="s">
        <v>39</v>
      </c>
      <c r="AK98" s="5" t="s">
        <v>40</v>
      </c>
      <c r="AL98" s="5"/>
      <c r="AM98" s="5"/>
      <c r="AN98" s="5"/>
    </row>
    <row r="99" spans="1:40" ht="90" x14ac:dyDescent="0.25">
      <c r="A99" s="3">
        <v>95</v>
      </c>
      <c r="B99" s="3" t="s">
        <v>42</v>
      </c>
      <c r="C99" s="4" t="s">
        <v>1217</v>
      </c>
      <c r="D99" s="3" t="s">
        <v>1218</v>
      </c>
      <c r="E99" s="5" t="s">
        <v>248</v>
      </c>
      <c r="F99" s="6">
        <v>25971</v>
      </c>
      <c r="G99" s="6">
        <v>32998</v>
      </c>
      <c r="H99" s="3" t="s">
        <v>77</v>
      </c>
      <c r="I99" s="3" t="s">
        <v>45</v>
      </c>
      <c r="J99" s="3" t="s">
        <v>119</v>
      </c>
      <c r="K99" s="3" t="s">
        <v>305</v>
      </c>
      <c r="L99" s="5" t="s">
        <v>90</v>
      </c>
      <c r="M99" s="6">
        <v>44174</v>
      </c>
      <c r="N99" s="5" t="s">
        <v>65</v>
      </c>
      <c r="O99" s="3" t="s">
        <v>48</v>
      </c>
      <c r="P99" s="5" t="s">
        <v>48</v>
      </c>
      <c r="Q99" s="7" t="s">
        <v>723</v>
      </c>
      <c r="R99" s="6">
        <v>45789</v>
      </c>
      <c r="S99" s="5" t="s">
        <v>724</v>
      </c>
      <c r="T99" s="5" t="s">
        <v>725</v>
      </c>
      <c r="U99" s="5" t="s">
        <v>725</v>
      </c>
      <c r="V99" s="5" t="s">
        <v>55</v>
      </c>
      <c r="W99" s="5" t="s">
        <v>55</v>
      </c>
      <c r="X99" s="5" t="s">
        <v>726</v>
      </c>
      <c r="Y99" s="5" t="s">
        <v>72</v>
      </c>
      <c r="Z99" s="3" t="s">
        <v>727</v>
      </c>
      <c r="AA99" s="3" t="s">
        <v>85</v>
      </c>
      <c r="AB99" s="5" t="s">
        <v>127</v>
      </c>
      <c r="AC99" s="3">
        <v>30281952</v>
      </c>
      <c r="AD99" s="5" t="s">
        <v>55</v>
      </c>
      <c r="AE99" s="5" t="s">
        <v>55</v>
      </c>
      <c r="AF99" s="5">
        <v>781</v>
      </c>
      <c r="AG99" s="5" t="s">
        <v>36</v>
      </c>
      <c r="AH99" s="5"/>
      <c r="AI99" s="5" t="s">
        <v>38</v>
      </c>
      <c r="AJ99" s="5" t="s">
        <v>39</v>
      </c>
      <c r="AK99" s="5" t="s">
        <v>40</v>
      </c>
      <c r="AL99" s="5"/>
      <c r="AM99" s="5" t="s">
        <v>136</v>
      </c>
      <c r="AN99" s="5"/>
    </row>
    <row r="100" spans="1:40" ht="45" x14ac:dyDescent="0.25">
      <c r="A100" s="3">
        <v>96</v>
      </c>
      <c r="B100" s="3" t="s">
        <v>218</v>
      </c>
      <c r="C100" s="4" t="s">
        <v>728</v>
      </c>
      <c r="D100" s="3" t="s">
        <v>1335</v>
      </c>
      <c r="E100" s="5" t="s">
        <v>729</v>
      </c>
      <c r="F100" s="6">
        <v>31048</v>
      </c>
      <c r="G100" s="6">
        <v>38918</v>
      </c>
      <c r="H100" s="3" t="s">
        <v>44</v>
      </c>
      <c r="I100" s="3" t="s">
        <v>45</v>
      </c>
      <c r="J100" s="3" t="s">
        <v>730</v>
      </c>
      <c r="K100" s="3" t="s">
        <v>120</v>
      </c>
      <c r="L100" s="5" t="s">
        <v>55</v>
      </c>
      <c r="M100" s="6">
        <v>38918</v>
      </c>
      <c r="N100" s="5" t="s">
        <v>242</v>
      </c>
      <c r="O100" s="3" t="s">
        <v>731</v>
      </c>
      <c r="P100" s="5" t="s">
        <v>732</v>
      </c>
      <c r="Q100" s="3" t="s">
        <v>223</v>
      </c>
      <c r="R100" s="6">
        <v>45055</v>
      </c>
      <c r="S100" s="5" t="s">
        <v>733</v>
      </c>
      <c r="T100" s="5" t="s">
        <v>734</v>
      </c>
      <c r="U100" s="5" t="s">
        <v>735</v>
      </c>
      <c r="V100" s="5" t="s">
        <v>226</v>
      </c>
      <c r="W100" s="5" t="s">
        <v>226</v>
      </c>
      <c r="X100" s="5" t="s">
        <v>45</v>
      </c>
      <c r="Y100" s="5" t="s">
        <v>55</v>
      </c>
      <c r="Z100" s="3" t="s">
        <v>736</v>
      </c>
      <c r="AA100" s="3" t="s">
        <v>57</v>
      </c>
      <c r="AB100" s="5" t="s">
        <v>127</v>
      </c>
      <c r="AC100" s="3">
        <v>30475244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ht="75" x14ac:dyDescent="0.25">
      <c r="A101" s="3">
        <v>97</v>
      </c>
      <c r="B101" s="3" t="s">
        <v>42</v>
      </c>
      <c r="C101" s="4" t="s">
        <v>1219</v>
      </c>
      <c r="D101" s="3" t="s">
        <v>1220</v>
      </c>
      <c r="E101" s="5" t="s">
        <v>737</v>
      </c>
      <c r="F101" s="6">
        <v>24516</v>
      </c>
      <c r="G101" s="6">
        <v>33156</v>
      </c>
      <c r="H101" s="3" t="s">
        <v>129</v>
      </c>
      <c r="I101" s="3" t="s">
        <v>45</v>
      </c>
      <c r="J101" s="3" t="s">
        <v>730</v>
      </c>
      <c r="K101" s="3" t="s">
        <v>258</v>
      </c>
      <c r="L101" s="5" t="s">
        <v>130</v>
      </c>
      <c r="M101" s="6">
        <v>43454</v>
      </c>
      <c r="N101" s="5" t="s">
        <v>91</v>
      </c>
      <c r="O101" s="3" t="s">
        <v>49</v>
      </c>
      <c r="P101" s="5" t="s">
        <v>148</v>
      </c>
      <c r="Q101" s="3" t="s">
        <v>51</v>
      </c>
      <c r="R101" s="6">
        <v>45891</v>
      </c>
      <c r="S101" s="5" t="s">
        <v>738</v>
      </c>
      <c r="T101" s="5" t="s">
        <v>739</v>
      </c>
      <c r="U101" s="5" t="s">
        <v>739</v>
      </c>
      <c r="V101" s="5">
        <v>40657</v>
      </c>
      <c r="W101" s="5">
        <v>42825</v>
      </c>
      <c r="X101" s="5"/>
      <c r="Y101" s="5" t="s">
        <v>55</v>
      </c>
      <c r="Z101" s="3" t="s">
        <v>740</v>
      </c>
      <c r="AA101" s="3" t="s">
        <v>85</v>
      </c>
      <c r="AB101" s="5" t="s">
        <v>263</v>
      </c>
      <c r="AC101" s="3">
        <v>30475399</v>
      </c>
      <c r="AD101" s="5"/>
      <c r="AE101" s="5"/>
      <c r="AF101" s="5"/>
      <c r="AG101" s="5" t="s">
        <v>246</v>
      </c>
      <c r="AH101" s="5" t="s">
        <v>37</v>
      </c>
      <c r="AI101" s="5" t="s">
        <v>38</v>
      </c>
      <c r="AJ101" s="5" t="s">
        <v>39</v>
      </c>
      <c r="AK101" s="5" t="s">
        <v>40</v>
      </c>
      <c r="AL101" s="5"/>
      <c r="AM101" s="5" t="s">
        <v>136</v>
      </c>
      <c r="AN101" s="5"/>
    </row>
    <row r="102" spans="1:40" ht="75" x14ac:dyDescent="0.25">
      <c r="A102" s="3">
        <v>98</v>
      </c>
      <c r="B102" s="3" t="s">
        <v>42</v>
      </c>
      <c r="C102" s="4" t="s">
        <v>1221</v>
      </c>
      <c r="D102" s="3" t="s">
        <v>1222</v>
      </c>
      <c r="E102" s="5" t="s">
        <v>741</v>
      </c>
      <c r="F102" s="6">
        <v>28028</v>
      </c>
      <c r="G102" s="6">
        <v>35638</v>
      </c>
      <c r="H102" s="3" t="s">
        <v>77</v>
      </c>
      <c r="I102" s="3" t="s">
        <v>300</v>
      </c>
      <c r="J102" s="3" t="s">
        <v>300</v>
      </c>
      <c r="K102" s="3" t="s">
        <v>742</v>
      </c>
      <c r="L102" s="5" t="s">
        <v>213</v>
      </c>
      <c r="M102" s="6">
        <v>44482</v>
      </c>
      <c r="N102" s="5" t="s">
        <v>177</v>
      </c>
      <c r="O102" s="3" t="s">
        <v>158</v>
      </c>
      <c r="P102" s="5" t="s">
        <v>159</v>
      </c>
      <c r="Q102" s="3" t="s">
        <v>160</v>
      </c>
      <c r="R102" s="6">
        <v>45804</v>
      </c>
      <c r="S102" s="5" t="s">
        <v>743</v>
      </c>
      <c r="T102" s="5" t="s">
        <v>744</v>
      </c>
      <c r="U102" s="5" t="s">
        <v>744</v>
      </c>
      <c r="V102" s="5"/>
      <c r="W102" s="5"/>
      <c r="X102" s="5" t="s">
        <v>300</v>
      </c>
      <c r="Y102" s="5" t="s">
        <v>72</v>
      </c>
      <c r="Z102" s="3" t="s">
        <v>745</v>
      </c>
      <c r="AA102" s="3" t="s">
        <v>85</v>
      </c>
      <c r="AB102" s="5" t="s">
        <v>746</v>
      </c>
      <c r="AC102" s="3">
        <v>30612645</v>
      </c>
      <c r="AD102" s="5" t="s">
        <v>274</v>
      </c>
      <c r="AE102" s="5"/>
      <c r="AF102" s="5" t="s">
        <v>747</v>
      </c>
      <c r="AG102" s="5" t="s">
        <v>246</v>
      </c>
      <c r="AH102" s="5" t="s">
        <v>37</v>
      </c>
      <c r="AI102" s="5" t="s">
        <v>38</v>
      </c>
      <c r="AJ102" s="5"/>
      <c r="AK102" s="5"/>
      <c r="AL102" s="5"/>
      <c r="AM102" s="5" t="s">
        <v>136</v>
      </c>
      <c r="AN102" s="5"/>
    </row>
    <row r="103" spans="1:40" ht="60" x14ac:dyDescent="0.25">
      <c r="A103" s="3">
        <v>99</v>
      </c>
      <c r="B103" s="3" t="s">
        <v>42</v>
      </c>
      <c r="C103" s="4" t="s">
        <v>1223</v>
      </c>
      <c r="D103" s="3" t="s">
        <v>1224</v>
      </c>
      <c r="E103" s="5" t="s">
        <v>748</v>
      </c>
      <c r="F103" s="6">
        <v>24936</v>
      </c>
      <c r="G103" s="6">
        <v>33161</v>
      </c>
      <c r="H103" s="3" t="s">
        <v>77</v>
      </c>
      <c r="I103" s="3" t="s">
        <v>45</v>
      </c>
      <c r="J103" s="3" t="s">
        <v>45</v>
      </c>
      <c r="K103" s="3" t="s">
        <v>267</v>
      </c>
      <c r="L103" s="5" t="s">
        <v>90</v>
      </c>
      <c r="M103" s="6">
        <v>44406</v>
      </c>
      <c r="N103" s="5" t="s">
        <v>197</v>
      </c>
      <c r="O103" s="3" t="s">
        <v>49</v>
      </c>
      <c r="P103" s="5" t="s">
        <v>214</v>
      </c>
      <c r="Q103" s="3" t="s">
        <v>51</v>
      </c>
      <c r="R103" s="6">
        <v>45612</v>
      </c>
      <c r="S103" s="5" t="s">
        <v>749</v>
      </c>
      <c r="T103" s="5" t="s">
        <v>750</v>
      </c>
      <c r="U103" s="5" t="s">
        <v>751</v>
      </c>
      <c r="V103" s="5">
        <v>41283</v>
      </c>
      <c r="W103" s="5">
        <v>43151</v>
      </c>
      <c r="X103" s="5"/>
      <c r="Y103" s="5" t="s">
        <v>72</v>
      </c>
      <c r="Z103" s="3" t="s">
        <v>752</v>
      </c>
      <c r="AA103" s="3" t="s">
        <v>57</v>
      </c>
      <c r="AB103" s="5" t="s">
        <v>97</v>
      </c>
      <c r="AC103" s="3">
        <v>30475949</v>
      </c>
      <c r="AD103" s="5"/>
      <c r="AE103" s="5"/>
      <c r="AF103" s="5"/>
      <c r="AG103" s="5" t="s">
        <v>246</v>
      </c>
      <c r="AH103" s="5" t="s">
        <v>37</v>
      </c>
      <c r="AI103" s="5" t="s">
        <v>38</v>
      </c>
      <c r="AJ103" s="5" t="s">
        <v>39</v>
      </c>
      <c r="AK103" s="5" t="s">
        <v>40</v>
      </c>
      <c r="AL103" s="5"/>
      <c r="AM103" s="5" t="s">
        <v>595</v>
      </c>
      <c r="AN103" s="5"/>
    </row>
    <row r="104" spans="1:40" ht="60" x14ac:dyDescent="0.25">
      <c r="A104" s="3">
        <v>100</v>
      </c>
      <c r="B104" s="3" t="s">
        <v>42</v>
      </c>
      <c r="C104" s="4" t="s">
        <v>1225</v>
      </c>
      <c r="D104" s="3" t="s">
        <v>1226</v>
      </c>
      <c r="E104" s="5" t="s">
        <v>248</v>
      </c>
      <c r="F104" s="6">
        <v>25323</v>
      </c>
      <c r="G104" s="6">
        <v>34217</v>
      </c>
      <c r="H104" s="3" t="s">
        <v>44</v>
      </c>
      <c r="I104" s="3" t="s">
        <v>45</v>
      </c>
      <c r="J104" s="3" t="s">
        <v>108</v>
      </c>
      <c r="K104" s="3" t="s">
        <v>206</v>
      </c>
      <c r="L104" s="5" t="s">
        <v>753</v>
      </c>
      <c r="M104" s="6">
        <v>44642</v>
      </c>
      <c r="N104" s="5" t="s">
        <v>250</v>
      </c>
      <c r="O104" s="3" t="s">
        <v>284</v>
      </c>
      <c r="P104" s="5" t="s">
        <v>754</v>
      </c>
      <c r="Q104" s="3" t="s">
        <v>754</v>
      </c>
      <c r="R104" s="6">
        <v>45603</v>
      </c>
      <c r="S104" s="5" t="s">
        <v>755</v>
      </c>
      <c r="T104" s="5" t="s">
        <v>756</v>
      </c>
      <c r="U104" s="5" t="s">
        <v>756</v>
      </c>
      <c r="V104" s="5"/>
      <c r="W104" s="5"/>
      <c r="X104" s="5"/>
      <c r="Y104" s="5" t="s">
        <v>172</v>
      </c>
      <c r="Z104" s="3" t="s">
        <v>757</v>
      </c>
      <c r="AA104" s="3" t="s">
        <v>57</v>
      </c>
      <c r="AB104" s="5" t="s">
        <v>758</v>
      </c>
      <c r="AC104" s="3">
        <v>30475491</v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ht="75" x14ac:dyDescent="0.25">
      <c r="A105" s="3">
        <v>101</v>
      </c>
      <c r="B105" s="3" t="s">
        <v>42</v>
      </c>
      <c r="C105" s="4" t="s">
        <v>1227</v>
      </c>
      <c r="D105" s="3" t="s">
        <v>1228</v>
      </c>
      <c r="E105" s="5" t="s">
        <v>759</v>
      </c>
      <c r="F105" s="6">
        <v>25087</v>
      </c>
      <c r="G105" s="6">
        <v>31990</v>
      </c>
      <c r="H105" s="3" t="s">
        <v>77</v>
      </c>
      <c r="I105" s="3" t="s">
        <v>45</v>
      </c>
      <c r="J105" s="3" t="s">
        <v>45</v>
      </c>
      <c r="K105" s="3" t="s">
        <v>89</v>
      </c>
      <c r="L105" s="5" t="s">
        <v>110</v>
      </c>
      <c r="M105" s="6">
        <v>45036</v>
      </c>
      <c r="N105" s="5" t="s">
        <v>296</v>
      </c>
      <c r="O105" s="3" t="s">
        <v>49</v>
      </c>
      <c r="P105" s="5" t="s">
        <v>389</v>
      </c>
      <c r="Q105" s="3" t="s">
        <v>51</v>
      </c>
      <c r="R105" s="6">
        <v>45533</v>
      </c>
      <c r="S105" s="5" t="s">
        <v>760</v>
      </c>
      <c r="T105" s="5" t="s">
        <v>761</v>
      </c>
      <c r="U105" s="5" t="s">
        <v>762</v>
      </c>
      <c r="V105" s="5" t="s">
        <v>71</v>
      </c>
      <c r="W105" s="5">
        <v>42809</v>
      </c>
      <c r="X105" s="5"/>
      <c r="Y105" s="5" t="s">
        <v>55</v>
      </c>
      <c r="Z105" s="3" t="s">
        <v>763</v>
      </c>
      <c r="AA105" s="3" t="s">
        <v>85</v>
      </c>
      <c r="AB105" s="5" t="s">
        <v>164</v>
      </c>
      <c r="AC105" s="3">
        <v>30476113</v>
      </c>
      <c r="AD105" s="5"/>
      <c r="AE105" s="5"/>
      <c r="AF105" s="5"/>
      <c r="AG105" s="5" t="s">
        <v>36</v>
      </c>
      <c r="AH105" s="5"/>
      <c r="AI105" s="5"/>
      <c r="AJ105" s="5" t="s">
        <v>39</v>
      </c>
      <c r="AK105" s="5" t="s">
        <v>40</v>
      </c>
      <c r="AL105" s="5"/>
      <c r="AM105" s="5"/>
      <c r="AN105" s="5"/>
    </row>
    <row r="106" spans="1:40" ht="60" x14ac:dyDescent="0.25">
      <c r="A106" s="3">
        <v>102</v>
      </c>
      <c r="B106" s="3" t="s">
        <v>42</v>
      </c>
      <c r="C106" s="4" t="s">
        <v>1229</v>
      </c>
      <c r="D106" s="3" t="s">
        <v>1230</v>
      </c>
      <c r="E106" s="5" t="s">
        <v>764</v>
      </c>
      <c r="F106" s="6">
        <v>25329</v>
      </c>
      <c r="G106" s="6">
        <v>33259</v>
      </c>
      <c r="H106" s="3" t="s">
        <v>129</v>
      </c>
      <c r="I106" s="3" t="s">
        <v>45</v>
      </c>
      <c r="J106" s="3" t="s">
        <v>45</v>
      </c>
      <c r="K106" s="3" t="s">
        <v>167</v>
      </c>
      <c r="L106" s="5" t="s">
        <v>110</v>
      </c>
      <c r="M106" s="6">
        <v>45140</v>
      </c>
      <c r="N106" s="5" t="s">
        <v>177</v>
      </c>
      <c r="O106" s="3" t="s">
        <v>49</v>
      </c>
      <c r="P106" s="5" t="s">
        <v>148</v>
      </c>
      <c r="Q106" s="3" t="s">
        <v>51</v>
      </c>
      <c r="R106" s="6">
        <v>45773</v>
      </c>
      <c r="S106" s="5" t="s">
        <v>765</v>
      </c>
      <c r="T106" s="5" t="s">
        <v>766</v>
      </c>
      <c r="U106" s="5" t="s">
        <v>766</v>
      </c>
      <c r="V106" s="5"/>
      <c r="W106" s="5"/>
      <c r="X106" s="5" t="s">
        <v>54</v>
      </c>
      <c r="Y106" s="5" t="s">
        <v>72</v>
      </c>
      <c r="Z106" s="3" t="s">
        <v>767</v>
      </c>
      <c r="AA106" s="3" t="s">
        <v>201</v>
      </c>
      <c r="AB106" s="5" t="s">
        <v>758</v>
      </c>
      <c r="AC106" s="3">
        <v>30475666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ht="60" x14ac:dyDescent="0.25">
      <c r="A107" s="3">
        <v>103</v>
      </c>
      <c r="B107" s="3" t="s">
        <v>42</v>
      </c>
      <c r="C107" s="4" t="s">
        <v>1231</v>
      </c>
      <c r="D107" s="3" t="s">
        <v>1232</v>
      </c>
      <c r="E107" s="5" t="s">
        <v>768</v>
      </c>
      <c r="F107" s="6">
        <v>25873</v>
      </c>
      <c r="G107" s="6">
        <v>34225</v>
      </c>
      <c r="H107" s="3" t="s">
        <v>77</v>
      </c>
      <c r="I107" s="3" t="s">
        <v>45</v>
      </c>
      <c r="J107" s="3" t="s">
        <v>108</v>
      </c>
      <c r="K107" s="3" t="s">
        <v>338</v>
      </c>
      <c r="L107" s="5" t="s">
        <v>277</v>
      </c>
      <c r="M107" s="6">
        <v>45240</v>
      </c>
      <c r="N107" s="5" t="s">
        <v>48</v>
      </c>
      <c r="O107" s="3" t="s">
        <v>493</v>
      </c>
      <c r="P107" s="5" t="s">
        <v>769</v>
      </c>
      <c r="Q107" s="3" t="s">
        <v>223</v>
      </c>
      <c r="R107" s="6">
        <v>45247</v>
      </c>
      <c r="S107" s="5" t="s">
        <v>770</v>
      </c>
      <c r="T107" s="5" t="s">
        <v>771</v>
      </c>
      <c r="U107" s="5" t="s">
        <v>772</v>
      </c>
      <c r="V107" s="5" t="s">
        <v>55</v>
      </c>
      <c r="W107" s="5" t="s">
        <v>55</v>
      </c>
      <c r="X107" s="5"/>
      <c r="Y107" s="5" t="s">
        <v>55</v>
      </c>
      <c r="Z107" s="3" t="s">
        <v>773</v>
      </c>
      <c r="AA107" s="3" t="s">
        <v>115</v>
      </c>
      <c r="AB107" s="5"/>
      <c r="AC107" s="3">
        <v>30476022</v>
      </c>
      <c r="AD107" s="5"/>
      <c r="AE107" s="5"/>
      <c r="AF107" s="5">
        <v>296</v>
      </c>
      <c r="AG107" s="5"/>
      <c r="AH107" s="5"/>
      <c r="AI107" s="5"/>
      <c r="AJ107" s="5"/>
      <c r="AK107" s="5"/>
      <c r="AL107" s="5"/>
      <c r="AM107" s="5"/>
      <c r="AN107" s="5"/>
    </row>
    <row r="108" spans="1:40" ht="45" x14ac:dyDescent="0.25">
      <c r="A108" s="3">
        <v>104</v>
      </c>
      <c r="B108" s="3" t="s">
        <v>42</v>
      </c>
      <c r="C108" s="4" t="s">
        <v>774</v>
      </c>
      <c r="D108" s="3" t="s">
        <v>1336</v>
      </c>
      <c r="E108" s="5" t="s">
        <v>775</v>
      </c>
      <c r="F108" s="6">
        <v>28917</v>
      </c>
      <c r="G108" s="6">
        <v>36094</v>
      </c>
      <c r="H108" s="3" t="s">
        <v>77</v>
      </c>
      <c r="I108" s="3" t="s">
        <v>45</v>
      </c>
      <c r="J108" s="3" t="s">
        <v>45</v>
      </c>
      <c r="K108" s="3" t="s">
        <v>267</v>
      </c>
      <c r="L108" s="5" t="s">
        <v>130</v>
      </c>
      <c r="M108" s="6">
        <v>45265</v>
      </c>
      <c r="N108" s="5" t="s">
        <v>48</v>
      </c>
      <c r="O108" s="3" t="s">
        <v>49</v>
      </c>
      <c r="P108" s="5" t="s">
        <v>232</v>
      </c>
      <c r="Q108" s="3" t="s">
        <v>51</v>
      </c>
      <c r="R108" s="6">
        <v>45750</v>
      </c>
      <c r="S108" s="5" t="s">
        <v>776</v>
      </c>
      <c r="T108" s="5" t="s">
        <v>777</v>
      </c>
      <c r="U108" s="5" t="s">
        <v>778</v>
      </c>
      <c r="V108" s="5">
        <v>45197</v>
      </c>
      <c r="W108" s="5" t="s">
        <v>321</v>
      </c>
      <c r="X108" s="5"/>
      <c r="Y108" s="5" t="s">
        <v>55</v>
      </c>
      <c r="Z108" s="3" t="s">
        <v>779</v>
      </c>
      <c r="AA108" s="3" t="s">
        <v>57</v>
      </c>
      <c r="AB108" s="5" t="s">
        <v>228</v>
      </c>
      <c r="AC108" s="3">
        <v>30475615</v>
      </c>
      <c r="AD108" s="5" t="s">
        <v>274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ht="60" x14ac:dyDescent="0.25">
      <c r="A109" s="3">
        <v>105</v>
      </c>
      <c r="B109" s="3" t="s">
        <v>42</v>
      </c>
      <c r="C109" s="4" t="s">
        <v>1233</v>
      </c>
      <c r="D109" s="3" t="s">
        <v>1234</v>
      </c>
      <c r="E109" s="5" t="s">
        <v>780</v>
      </c>
      <c r="F109" s="6">
        <v>29117</v>
      </c>
      <c r="G109" s="6">
        <v>36182</v>
      </c>
      <c r="H109" s="3" t="s">
        <v>77</v>
      </c>
      <c r="I109" s="3" t="s">
        <v>45</v>
      </c>
      <c r="J109" s="3" t="s">
        <v>45</v>
      </c>
      <c r="K109" s="3" t="s">
        <v>267</v>
      </c>
      <c r="L109" s="5" t="s">
        <v>130</v>
      </c>
      <c r="M109" s="6">
        <v>44561</v>
      </c>
      <c r="N109" s="5" t="s">
        <v>48</v>
      </c>
      <c r="O109" s="3" t="s">
        <v>221</v>
      </c>
      <c r="P109" s="5" t="s">
        <v>781</v>
      </c>
      <c r="Q109" s="3" t="s">
        <v>782</v>
      </c>
      <c r="R109" s="6">
        <v>45269</v>
      </c>
      <c r="S109" s="5" t="s">
        <v>783</v>
      </c>
      <c r="T109" s="5" t="s">
        <v>784</v>
      </c>
      <c r="U109" s="5" t="s">
        <v>784</v>
      </c>
      <c r="V109" s="5" t="s">
        <v>71</v>
      </c>
      <c r="W109" s="5" t="s">
        <v>71</v>
      </c>
      <c r="X109" s="5"/>
      <c r="Y109" s="5" t="s">
        <v>72</v>
      </c>
      <c r="Z109" s="3" t="s">
        <v>785</v>
      </c>
      <c r="AA109" s="3" t="s">
        <v>57</v>
      </c>
      <c r="AB109" s="5" t="s">
        <v>86</v>
      </c>
      <c r="AC109" s="3">
        <v>30276742</v>
      </c>
      <c r="AD109" s="5"/>
      <c r="AE109" s="5"/>
      <c r="AF109" s="5">
        <v>6678</v>
      </c>
      <c r="AG109" s="5"/>
      <c r="AH109" s="5"/>
      <c r="AI109" s="5"/>
      <c r="AJ109" s="5"/>
      <c r="AK109" s="5"/>
      <c r="AL109" s="5">
        <v>44595</v>
      </c>
      <c r="AM109" s="5" t="s">
        <v>55</v>
      </c>
      <c r="AN109" s="5"/>
    </row>
    <row r="110" spans="1:40" ht="60" x14ac:dyDescent="0.25">
      <c r="A110" s="3">
        <v>106</v>
      </c>
      <c r="B110" s="3" t="s">
        <v>42</v>
      </c>
      <c r="C110" s="4" t="s">
        <v>1235</v>
      </c>
      <c r="D110" s="3" t="s">
        <v>1236</v>
      </c>
      <c r="E110" s="5" t="s">
        <v>786</v>
      </c>
      <c r="F110" s="6">
        <v>26451</v>
      </c>
      <c r="G110" s="6">
        <v>34224</v>
      </c>
      <c r="H110" s="3" t="s">
        <v>129</v>
      </c>
      <c r="I110" s="3" t="s">
        <v>45</v>
      </c>
      <c r="J110" s="3" t="s">
        <v>108</v>
      </c>
      <c r="K110" s="3" t="s">
        <v>332</v>
      </c>
      <c r="L110" s="5" t="s">
        <v>241</v>
      </c>
      <c r="M110" s="6">
        <v>44224</v>
      </c>
      <c r="N110" s="5" t="s">
        <v>48</v>
      </c>
      <c r="O110" s="3" t="s">
        <v>49</v>
      </c>
      <c r="P110" s="5" t="s">
        <v>232</v>
      </c>
      <c r="Q110" s="3" t="s">
        <v>51</v>
      </c>
      <c r="R110" s="6">
        <v>45729</v>
      </c>
      <c r="S110" s="5" t="s">
        <v>787</v>
      </c>
      <c r="T110" s="5" t="s">
        <v>788</v>
      </c>
      <c r="U110" s="5" t="s">
        <v>788</v>
      </c>
      <c r="V110" s="5" t="s">
        <v>55</v>
      </c>
      <c r="W110" s="5" t="s">
        <v>55</v>
      </c>
      <c r="X110" s="5" t="s">
        <v>530</v>
      </c>
      <c r="Y110" s="5" t="s">
        <v>72</v>
      </c>
      <c r="Z110" s="3" t="s">
        <v>789</v>
      </c>
      <c r="AA110" s="3" t="s">
        <v>85</v>
      </c>
      <c r="AB110" s="5" t="s">
        <v>746</v>
      </c>
      <c r="AC110" s="3">
        <v>30273721</v>
      </c>
      <c r="AD110" s="5" t="s">
        <v>274</v>
      </c>
      <c r="AE110" s="5"/>
      <c r="AF110" s="5"/>
      <c r="AG110" s="5" t="s">
        <v>36</v>
      </c>
      <c r="AH110" s="5"/>
      <c r="AI110" s="5" t="s">
        <v>38</v>
      </c>
      <c r="AJ110" s="5"/>
      <c r="AK110" s="5"/>
      <c r="AL110" s="5"/>
      <c r="AM110" s="5" t="s">
        <v>136</v>
      </c>
      <c r="AN110" s="5"/>
    </row>
    <row r="111" spans="1:40" ht="75" x14ac:dyDescent="0.25">
      <c r="A111" s="3">
        <v>107</v>
      </c>
      <c r="B111" s="3" t="s">
        <v>42</v>
      </c>
      <c r="C111" s="4" t="s">
        <v>1237</v>
      </c>
      <c r="D111" s="3" t="s">
        <v>1238</v>
      </c>
      <c r="E111" s="5" t="s">
        <v>790</v>
      </c>
      <c r="F111" s="6">
        <v>29645</v>
      </c>
      <c r="G111" s="6">
        <v>36267</v>
      </c>
      <c r="H111" s="3" t="s">
        <v>44</v>
      </c>
      <c r="I111" s="3" t="s">
        <v>45</v>
      </c>
      <c r="J111" s="3" t="s">
        <v>108</v>
      </c>
      <c r="K111" s="3" t="s">
        <v>167</v>
      </c>
      <c r="L111" s="5" t="s">
        <v>130</v>
      </c>
      <c r="M111" s="6">
        <v>45012</v>
      </c>
      <c r="N111" s="5" t="s">
        <v>55</v>
      </c>
      <c r="O111" s="3" t="s">
        <v>121</v>
      </c>
      <c r="P111" s="5" t="s">
        <v>791</v>
      </c>
      <c r="Q111" s="3" t="s">
        <v>122</v>
      </c>
      <c r="R111" s="6">
        <v>38719</v>
      </c>
      <c r="S111" s="5" t="s">
        <v>792</v>
      </c>
      <c r="T111" s="5" t="s">
        <v>793</v>
      </c>
      <c r="U111" s="5" t="s">
        <v>793</v>
      </c>
      <c r="V111" s="5" t="s">
        <v>121</v>
      </c>
      <c r="W111" s="5" t="s">
        <v>121</v>
      </c>
      <c r="X111" s="5"/>
      <c r="Y111" s="5" t="s">
        <v>55</v>
      </c>
      <c r="Z111" s="3" t="s">
        <v>794</v>
      </c>
      <c r="AA111" s="3" t="s">
        <v>419</v>
      </c>
      <c r="AB111" s="5" t="s">
        <v>795</v>
      </c>
      <c r="AC111" s="3">
        <v>30475608</v>
      </c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ht="60" x14ac:dyDescent="0.25">
      <c r="A112" s="3">
        <v>108</v>
      </c>
      <c r="B112" s="3" t="s">
        <v>42</v>
      </c>
      <c r="C112" s="4" t="s">
        <v>1239</v>
      </c>
      <c r="D112" s="3" t="s">
        <v>1240</v>
      </c>
      <c r="E112" s="5" t="s">
        <v>796</v>
      </c>
      <c r="F112" s="6">
        <v>28387</v>
      </c>
      <c r="G112" s="6">
        <v>36178</v>
      </c>
      <c r="H112" s="3" t="s">
        <v>129</v>
      </c>
      <c r="I112" s="3" t="s">
        <v>45</v>
      </c>
      <c r="J112" s="3" t="s">
        <v>45</v>
      </c>
      <c r="K112" s="3" t="s">
        <v>318</v>
      </c>
      <c r="L112" s="5" t="s">
        <v>241</v>
      </c>
      <c r="M112" s="6">
        <v>45166</v>
      </c>
      <c r="N112" s="5" t="s">
        <v>169</v>
      </c>
      <c r="O112" s="3" t="s">
        <v>49</v>
      </c>
      <c r="P112" s="5" t="s">
        <v>389</v>
      </c>
      <c r="Q112" s="3" t="s">
        <v>51</v>
      </c>
      <c r="R112" s="6">
        <v>45808</v>
      </c>
      <c r="S112" s="5" t="s">
        <v>797</v>
      </c>
      <c r="T112" s="5" t="s">
        <v>798</v>
      </c>
      <c r="U112" s="5" t="s">
        <v>798</v>
      </c>
      <c r="V112" s="5">
        <v>37089</v>
      </c>
      <c r="W112" s="5" t="s">
        <v>71</v>
      </c>
      <c r="X112" s="5"/>
      <c r="Y112" s="5" t="s">
        <v>55</v>
      </c>
      <c r="Z112" s="3" t="s">
        <v>799</v>
      </c>
      <c r="AA112" s="3" t="s">
        <v>115</v>
      </c>
      <c r="AB112" s="5" t="s">
        <v>164</v>
      </c>
      <c r="AC112" s="3">
        <v>30476227</v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ht="45" x14ac:dyDescent="0.25">
      <c r="A113" s="3">
        <v>109</v>
      </c>
      <c r="B113" s="3" t="s">
        <v>42</v>
      </c>
      <c r="C113" s="4" t="s">
        <v>1241</v>
      </c>
      <c r="D113" s="3" t="s">
        <v>1242</v>
      </c>
      <c r="E113" s="5" t="s">
        <v>800</v>
      </c>
      <c r="F113" s="6">
        <v>26085</v>
      </c>
      <c r="G113" s="6">
        <v>34224</v>
      </c>
      <c r="H113" s="3" t="s">
        <v>61</v>
      </c>
      <c r="I113" s="3" t="s">
        <v>45</v>
      </c>
      <c r="J113" s="3" t="s">
        <v>119</v>
      </c>
      <c r="K113" s="3" t="s">
        <v>305</v>
      </c>
      <c r="L113" s="5" t="s">
        <v>277</v>
      </c>
      <c r="M113" s="6">
        <v>45240</v>
      </c>
      <c r="N113" s="5" t="s">
        <v>48</v>
      </c>
      <c r="O113" s="3" t="s">
        <v>493</v>
      </c>
      <c r="P113" s="5" t="s">
        <v>801</v>
      </c>
      <c r="Q113" s="3" t="s">
        <v>223</v>
      </c>
      <c r="R113" s="6">
        <v>45523</v>
      </c>
      <c r="S113" s="5" t="s">
        <v>802</v>
      </c>
      <c r="T113" s="5" t="s">
        <v>803</v>
      </c>
      <c r="U113" s="5" t="s">
        <v>803</v>
      </c>
      <c r="V113" s="5" t="s">
        <v>55</v>
      </c>
      <c r="W113" s="5" t="s">
        <v>55</v>
      </c>
      <c r="X113" s="5"/>
      <c r="Y113" s="5" t="s">
        <v>55</v>
      </c>
      <c r="Z113" s="3" t="s">
        <v>804</v>
      </c>
      <c r="AA113" s="3" t="s">
        <v>55</v>
      </c>
      <c r="AB113" s="5" t="s">
        <v>127</v>
      </c>
      <c r="AC113" s="3">
        <v>30476121</v>
      </c>
      <c r="AD113" s="5"/>
      <c r="AE113" s="5"/>
      <c r="AF113" s="5">
        <v>298</v>
      </c>
      <c r="AG113" s="5"/>
      <c r="AH113" s="5"/>
      <c r="AI113" s="5"/>
      <c r="AJ113" s="5"/>
      <c r="AK113" s="5"/>
      <c r="AL113" s="5"/>
      <c r="AM113" s="5"/>
      <c r="AN113" s="5"/>
    </row>
    <row r="114" spans="1:40" ht="60" x14ac:dyDescent="0.25">
      <c r="A114" s="3">
        <v>110</v>
      </c>
      <c r="B114" s="3" t="s">
        <v>42</v>
      </c>
      <c r="C114" s="4" t="s">
        <v>1243</v>
      </c>
      <c r="D114" s="3" t="s">
        <v>1244</v>
      </c>
      <c r="E114" s="5" t="s">
        <v>805</v>
      </c>
      <c r="F114" s="6">
        <v>26461</v>
      </c>
      <c r="G114" s="6">
        <v>33187</v>
      </c>
      <c r="H114" s="3" t="s">
        <v>77</v>
      </c>
      <c r="I114" s="3" t="s">
        <v>45</v>
      </c>
      <c r="J114" s="3" t="s">
        <v>45</v>
      </c>
      <c r="K114" s="3" t="s">
        <v>100</v>
      </c>
      <c r="L114" s="5" t="s">
        <v>688</v>
      </c>
      <c r="M114" s="6">
        <v>44032</v>
      </c>
      <c r="N114" s="5" t="s">
        <v>434</v>
      </c>
      <c r="O114" s="3" t="s">
        <v>493</v>
      </c>
      <c r="P114" s="5" t="s">
        <v>806</v>
      </c>
      <c r="Q114" s="3" t="s">
        <v>223</v>
      </c>
      <c r="R114" s="6">
        <v>45871</v>
      </c>
      <c r="S114" s="5" t="s">
        <v>807</v>
      </c>
      <c r="T114" s="5" t="s">
        <v>808</v>
      </c>
      <c r="U114" s="5" t="s">
        <v>808</v>
      </c>
      <c r="V114" s="5" t="s">
        <v>55</v>
      </c>
      <c r="W114" s="5" t="s">
        <v>55</v>
      </c>
      <c r="X114" s="5" t="s">
        <v>45</v>
      </c>
      <c r="Y114" s="5" t="s">
        <v>72</v>
      </c>
      <c r="Z114" s="3" t="s">
        <v>809</v>
      </c>
      <c r="AA114" s="3" t="s">
        <v>201</v>
      </c>
      <c r="AB114" s="5" t="s">
        <v>86</v>
      </c>
      <c r="AC114" s="3">
        <v>30476213</v>
      </c>
      <c r="AD114" s="5"/>
      <c r="AE114" s="5"/>
      <c r="AF114" s="5"/>
      <c r="AG114" s="5" t="s">
        <v>36</v>
      </c>
      <c r="AH114" s="5"/>
      <c r="AI114" s="5" t="s">
        <v>38</v>
      </c>
      <c r="AJ114" s="5" t="s">
        <v>39</v>
      </c>
      <c r="AK114" s="5" t="s">
        <v>40</v>
      </c>
      <c r="AL114" s="5"/>
      <c r="AM114" s="5" t="s">
        <v>136</v>
      </c>
      <c r="AN114" s="5"/>
    </row>
    <row r="115" spans="1:40" ht="60" x14ac:dyDescent="0.25">
      <c r="A115" s="3">
        <v>111</v>
      </c>
      <c r="B115" s="3" t="s">
        <v>42</v>
      </c>
      <c r="C115" s="4" t="s">
        <v>1245</v>
      </c>
      <c r="D115" s="3" t="s">
        <v>1246</v>
      </c>
      <c r="E115" s="5" t="s">
        <v>810</v>
      </c>
      <c r="F115" s="6">
        <v>26858</v>
      </c>
      <c r="G115" s="6">
        <v>36178</v>
      </c>
      <c r="H115" s="3" t="s">
        <v>44</v>
      </c>
      <c r="I115" s="3" t="s">
        <v>45</v>
      </c>
      <c r="J115" s="3" t="s">
        <v>45</v>
      </c>
      <c r="K115" s="3" t="s">
        <v>410</v>
      </c>
      <c r="L115" s="5" t="s">
        <v>90</v>
      </c>
      <c r="M115" s="6">
        <v>45159</v>
      </c>
      <c r="N115" s="5" t="s">
        <v>48</v>
      </c>
      <c r="O115" s="3" t="s">
        <v>49</v>
      </c>
      <c r="P115" s="5" t="s">
        <v>178</v>
      </c>
      <c r="Q115" s="3" t="s">
        <v>51</v>
      </c>
      <c r="R115" s="6">
        <v>45808</v>
      </c>
      <c r="S115" s="5" t="s">
        <v>811</v>
      </c>
      <c r="T115" s="5" t="s">
        <v>812</v>
      </c>
      <c r="U115" s="5" t="s">
        <v>813</v>
      </c>
      <c r="V115" s="5">
        <v>42916</v>
      </c>
      <c r="W115" s="5">
        <v>42798</v>
      </c>
      <c r="X115" s="5"/>
      <c r="Y115" s="5"/>
      <c r="Z115" s="3" t="s">
        <v>814</v>
      </c>
      <c r="AA115" s="3" t="s">
        <v>57</v>
      </c>
      <c r="AB115" s="5" t="s">
        <v>815</v>
      </c>
      <c r="AC115" s="3">
        <v>30494352</v>
      </c>
      <c r="AD115" s="5" t="s">
        <v>274</v>
      </c>
      <c r="AE115" s="5"/>
      <c r="AF115" s="5"/>
      <c r="AG115" s="5" t="s">
        <v>246</v>
      </c>
      <c r="AH115" s="5" t="s">
        <v>37</v>
      </c>
      <c r="AI115" s="5" t="s">
        <v>38</v>
      </c>
      <c r="AJ115" s="5"/>
      <c r="AK115" s="5"/>
      <c r="AL115" s="5"/>
      <c r="AM115" s="5"/>
      <c r="AN115" s="5"/>
    </row>
    <row r="116" spans="1:40" ht="60" x14ac:dyDescent="0.25">
      <c r="A116" s="3">
        <v>112</v>
      </c>
      <c r="B116" s="3" t="s">
        <v>42</v>
      </c>
      <c r="C116" s="4" t="s">
        <v>1247</v>
      </c>
      <c r="D116" s="3" t="s">
        <v>1248</v>
      </c>
      <c r="E116" s="5" t="s">
        <v>816</v>
      </c>
      <c r="F116" s="6">
        <v>29273</v>
      </c>
      <c r="G116" s="6">
        <v>36178</v>
      </c>
      <c r="H116" s="3" t="s">
        <v>129</v>
      </c>
      <c r="I116" s="3" t="s">
        <v>45</v>
      </c>
      <c r="J116" s="3" t="s">
        <v>730</v>
      </c>
      <c r="K116" s="3" t="s">
        <v>258</v>
      </c>
      <c r="L116" s="5" t="s">
        <v>130</v>
      </c>
      <c r="M116" s="6">
        <v>44747</v>
      </c>
      <c r="N116" s="5" t="s">
        <v>48</v>
      </c>
      <c r="O116" s="3" t="s">
        <v>48</v>
      </c>
      <c r="P116" s="5" t="s">
        <v>339</v>
      </c>
      <c r="Q116" s="3" t="s">
        <v>817</v>
      </c>
      <c r="R116" s="6">
        <v>45582</v>
      </c>
      <c r="S116" s="5" t="s">
        <v>818</v>
      </c>
      <c r="T116" s="5" t="s">
        <v>819</v>
      </c>
      <c r="U116" s="5" t="s">
        <v>819</v>
      </c>
      <c r="V116" s="5" t="s">
        <v>121</v>
      </c>
      <c r="W116" s="5" t="s">
        <v>121</v>
      </c>
      <c r="X116" s="5"/>
      <c r="Y116" s="5" t="s">
        <v>55</v>
      </c>
      <c r="Z116" s="3" t="s">
        <v>820</v>
      </c>
      <c r="AA116" s="3" t="s">
        <v>201</v>
      </c>
      <c r="AB116" s="5" t="s">
        <v>821</v>
      </c>
      <c r="AC116" s="3">
        <v>30475624</v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ht="45" x14ac:dyDescent="0.25">
      <c r="A117" s="3">
        <v>113</v>
      </c>
      <c r="B117" s="3" t="s">
        <v>42</v>
      </c>
      <c r="C117" s="4" t="s">
        <v>1249</v>
      </c>
      <c r="D117" s="3" t="s">
        <v>1250</v>
      </c>
      <c r="E117" s="5" t="s">
        <v>822</v>
      </c>
      <c r="F117" s="6">
        <v>31046</v>
      </c>
      <c r="G117" s="6">
        <v>42730</v>
      </c>
      <c r="H117" s="3" t="s">
        <v>44</v>
      </c>
      <c r="I117" s="3" t="s">
        <v>45</v>
      </c>
      <c r="J117" s="3" t="s">
        <v>45</v>
      </c>
      <c r="K117" s="3" t="s">
        <v>100</v>
      </c>
      <c r="L117" s="5" t="s">
        <v>1329</v>
      </c>
      <c r="M117" s="6">
        <v>42798</v>
      </c>
      <c r="N117" s="5" t="s">
        <v>178</v>
      </c>
      <c r="O117" s="3" t="s">
        <v>49</v>
      </c>
      <c r="P117" s="5" t="s">
        <v>169</v>
      </c>
      <c r="Q117" s="3" t="s">
        <v>51</v>
      </c>
      <c r="R117" s="6">
        <v>45891</v>
      </c>
      <c r="S117" s="5" t="s">
        <v>823</v>
      </c>
      <c r="T117" s="5" t="s">
        <v>824</v>
      </c>
      <c r="U117" s="5" t="s">
        <v>824</v>
      </c>
      <c r="V117" s="5" t="s">
        <v>55</v>
      </c>
      <c r="W117" s="5" t="s">
        <v>55</v>
      </c>
      <c r="X117" s="5" t="s">
        <v>55</v>
      </c>
      <c r="Y117" s="5" t="s">
        <v>1318</v>
      </c>
      <c r="Z117" s="3" t="s">
        <v>825</v>
      </c>
      <c r="AA117" s="3" t="s">
        <v>85</v>
      </c>
      <c r="AB117" s="5" t="s">
        <v>826</v>
      </c>
      <c r="AC117" s="3">
        <v>30475879</v>
      </c>
      <c r="AD117" s="5"/>
      <c r="AE117" s="5"/>
      <c r="AF117" s="5"/>
      <c r="AG117" s="5" t="s">
        <v>246</v>
      </c>
      <c r="AH117" s="5" t="s">
        <v>37</v>
      </c>
      <c r="AI117" s="5" t="s">
        <v>38</v>
      </c>
      <c r="AJ117" s="5" t="s">
        <v>39</v>
      </c>
      <c r="AK117" s="5" t="s">
        <v>40</v>
      </c>
      <c r="AL117" s="5"/>
      <c r="AM117" s="5" t="s">
        <v>136</v>
      </c>
      <c r="AN117" s="5"/>
    </row>
    <row r="118" spans="1:40" ht="60" x14ac:dyDescent="0.25">
      <c r="A118" s="3">
        <v>114</v>
      </c>
      <c r="B118" s="3" t="s">
        <v>42</v>
      </c>
      <c r="C118" s="4" t="s">
        <v>1251</v>
      </c>
      <c r="D118" s="3" t="s">
        <v>1252</v>
      </c>
      <c r="E118" s="5" t="s">
        <v>827</v>
      </c>
      <c r="F118" s="6">
        <v>27805</v>
      </c>
      <c r="G118" s="6">
        <v>36178</v>
      </c>
      <c r="H118" s="3" t="s">
        <v>77</v>
      </c>
      <c r="I118" s="3" t="s">
        <v>45</v>
      </c>
      <c r="J118" s="3" t="s">
        <v>108</v>
      </c>
      <c r="K118" s="3" t="s">
        <v>109</v>
      </c>
      <c r="L118" s="5" t="s">
        <v>90</v>
      </c>
      <c r="M118" s="6">
        <v>45174</v>
      </c>
      <c r="N118" s="5" t="s">
        <v>177</v>
      </c>
      <c r="O118" s="3" t="s">
        <v>48</v>
      </c>
      <c r="P118" s="5" t="s">
        <v>828</v>
      </c>
      <c r="Q118" s="3" t="s">
        <v>829</v>
      </c>
      <c r="R118" s="6">
        <v>45756</v>
      </c>
      <c r="S118" s="5" t="s">
        <v>830</v>
      </c>
      <c r="T118" s="5" t="s">
        <v>831</v>
      </c>
      <c r="U118" s="5" t="s">
        <v>831</v>
      </c>
      <c r="V118" s="5">
        <v>43796</v>
      </c>
      <c r="W118" s="5">
        <v>44009</v>
      </c>
      <c r="X118" s="5"/>
      <c r="Y118" s="5" t="s">
        <v>55</v>
      </c>
      <c r="Z118" s="3" t="s">
        <v>832</v>
      </c>
      <c r="AA118" s="3" t="s">
        <v>419</v>
      </c>
      <c r="AB118" s="5" t="s">
        <v>498</v>
      </c>
      <c r="AC118" s="3">
        <v>30475613</v>
      </c>
      <c r="AD118" s="5" t="s">
        <v>274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60" x14ac:dyDescent="0.25">
      <c r="A119" s="3">
        <v>115</v>
      </c>
      <c r="B119" s="3" t="s">
        <v>42</v>
      </c>
      <c r="C119" s="4" t="s">
        <v>1253</v>
      </c>
      <c r="D119" s="3" t="s">
        <v>1254</v>
      </c>
      <c r="E119" s="5" t="s">
        <v>833</v>
      </c>
      <c r="F119" s="6">
        <v>26665</v>
      </c>
      <c r="G119" s="6">
        <v>34758</v>
      </c>
      <c r="H119" s="3" t="s">
        <v>129</v>
      </c>
      <c r="I119" s="3" t="s">
        <v>834</v>
      </c>
      <c r="J119" s="3" t="s">
        <v>834</v>
      </c>
      <c r="K119" s="3" t="s">
        <v>835</v>
      </c>
      <c r="L119" s="5" t="s">
        <v>836</v>
      </c>
      <c r="M119" s="6">
        <v>43427</v>
      </c>
      <c r="N119" s="5" t="s">
        <v>148</v>
      </c>
      <c r="O119" s="3" t="s">
        <v>49</v>
      </c>
      <c r="P119" s="5" t="s">
        <v>242</v>
      </c>
      <c r="Q119" s="3" t="s">
        <v>51</v>
      </c>
      <c r="R119" s="6">
        <v>45891</v>
      </c>
      <c r="S119" s="5" t="s">
        <v>837</v>
      </c>
      <c r="T119" s="5" t="s">
        <v>838</v>
      </c>
      <c r="U119" s="5" t="s">
        <v>839</v>
      </c>
      <c r="V119" s="5" t="s">
        <v>71</v>
      </c>
      <c r="W119" s="5">
        <v>44160</v>
      </c>
      <c r="X119" s="5" t="s">
        <v>834</v>
      </c>
      <c r="Y119" s="5" t="s">
        <v>55</v>
      </c>
      <c r="Z119" s="3" t="s">
        <v>840</v>
      </c>
      <c r="AA119" s="3" t="s">
        <v>85</v>
      </c>
      <c r="AB119" s="5" t="s">
        <v>202</v>
      </c>
      <c r="AC119" s="3">
        <v>30475540</v>
      </c>
      <c r="AD119" s="5" t="s">
        <v>55</v>
      </c>
      <c r="AE119" s="5" t="s">
        <v>55</v>
      </c>
      <c r="AF119" s="5" t="s">
        <v>841</v>
      </c>
      <c r="AG119" s="5" t="s">
        <v>36</v>
      </c>
      <c r="AH119" s="5"/>
      <c r="AI119" s="5" t="s">
        <v>38</v>
      </c>
      <c r="AJ119" s="5"/>
      <c r="AK119" s="5"/>
      <c r="AL119" s="5"/>
      <c r="AM119" s="5" t="s">
        <v>136</v>
      </c>
      <c r="AN119" s="5"/>
    </row>
    <row r="120" spans="1:40" ht="60" x14ac:dyDescent="0.25">
      <c r="A120" s="3">
        <v>116</v>
      </c>
      <c r="B120" s="3" t="s">
        <v>42</v>
      </c>
      <c r="C120" s="4" t="s">
        <v>1255</v>
      </c>
      <c r="D120" s="3" t="s">
        <v>1256</v>
      </c>
      <c r="E120" s="5" t="s">
        <v>842</v>
      </c>
      <c r="F120" s="6">
        <v>26363</v>
      </c>
      <c r="G120" s="6">
        <v>33334</v>
      </c>
      <c r="H120" s="3" t="s">
        <v>77</v>
      </c>
      <c r="I120" s="3" t="s">
        <v>212</v>
      </c>
      <c r="J120" s="3" t="s">
        <v>212</v>
      </c>
      <c r="K120" s="3" t="s">
        <v>673</v>
      </c>
      <c r="L120" s="5" t="s">
        <v>843</v>
      </c>
      <c r="M120" s="6">
        <v>45657</v>
      </c>
      <c r="N120" s="5" t="s">
        <v>81</v>
      </c>
      <c r="O120" s="3" t="s">
        <v>49</v>
      </c>
      <c r="P120" s="5" t="s">
        <v>214</v>
      </c>
      <c r="Q120" s="3" t="s">
        <v>51</v>
      </c>
      <c r="R120" s="6">
        <v>45871</v>
      </c>
      <c r="S120" s="5" t="s">
        <v>844</v>
      </c>
      <c r="T120" s="5" t="s">
        <v>845</v>
      </c>
      <c r="U120" s="5" t="s">
        <v>845</v>
      </c>
      <c r="V120" s="5" t="s">
        <v>71</v>
      </c>
      <c r="W120" s="5" t="s">
        <v>71</v>
      </c>
      <c r="X120" s="5"/>
      <c r="Y120" s="5" t="s">
        <v>55</v>
      </c>
      <c r="Z120" s="3" t="s">
        <v>846</v>
      </c>
      <c r="AA120" s="3" t="s">
        <v>55</v>
      </c>
      <c r="AB120" s="5" t="s">
        <v>498</v>
      </c>
      <c r="AC120" s="3">
        <v>31444422</v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ht="60" x14ac:dyDescent="0.25">
      <c r="A121" s="3">
        <v>117</v>
      </c>
      <c r="B121" s="3" t="s">
        <v>42</v>
      </c>
      <c r="C121" s="4" t="s">
        <v>1257</v>
      </c>
      <c r="D121" s="3" t="s">
        <v>1258</v>
      </c>
      <c r="E121" s="5" t="s">
        <v>786</v>
      </c>
      <c r="F121" s="6">
        <v>26390</v>
      </c>
      <c r="G121" s="6">
        <v>33156</v>
      </c>
      <c r="H121" s="3" t="s">
        <v>129</v>
      </c>
      <c r="I121" s="3" t="s">
        <v>45</v>
      </c>
      <c r="J121" s="3" t="s">
        <v>682</v>
      </c>
      <c r="K121" s="3" t="s">
        <v>709</v>
      </c>
      <c r="L121" s="5"/>
      <c r="M121" s="6">
        <v>33156</v>
      </c>
      <c r="N121" s="5" t="s">
        <v>48</v>
      </c>
      <c r="O121" s="3" t="s">
        <v>221</v>
      </c>
      <c r="P121" s="5" t="s">
        <v>847</v>
      </c>
      <c r="Q121" s="3" t="s">
        <v>223</v>
      </c>
      <c r="R121" s="6">
        <v>44294</v>
      </c>
      <c r="S121" s="5" t="s">
        <v>848</v>
      </c>
      <c r="T121" s="5" t="s">
        <v>849</v>
      </c>
      <c r="U121" s="5" t="s">
        <v>849</v>
      </c>
      <c r="V121" s="5">
        <v>42090</v>
      </c>
      <c r="W121" s="5" t="s">
        <v>321</v>
      </c>
      <c r="X121" s="5"/>
      <c r="Y121" s="5" t="s">
        <v>55</v>
      </c>
      <c r="Z121" s="3" t="s">
        <v>850</v>
      </c>
      <c r="AA121" s="3" t="s">
        <v>115</v>
      </c>
      <c r="AB121" s="5"/>
      <c r="AC121" s="3">
        <v>31176229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 t="s">
        <v>851</v>
      </c>
      <c r="AN121" s="5"/>
    </row>
    <row r="122" spans="1:40" ht="75" x14ac:dyDescent="0.25">
      <c r="A122" s="3">
        <v>118</v>
      </c>
      <c r="B122" s="3" t="s">
        <v>42</v>
      </c>
      <c r="C122" s="4" t="s">
        <v>1259</v>
      </c>
      <c r="D122" s="3" t="s">
        <v>1260</v>
      </c>
      <c r="E122" s="5" t="s">
        <v>852</v>
      </c>
      <c r="F122" s="6">
        <v>26761</v>
      </c>
      <c r="G122" s="6">
        <v>33147</v>
      </c>
      <c r="H122" s="3" t="s">
        <v>156</v>
      </c>
      <c r="I122" s="3" t="s">
        <v>45</v>
      </c>
      <c r="J122" s="3" t="s">
        <v>108</v>
      </c>
      <c r="K122" s="3" t="s">
        <v>167</v>
      </c>
      <c r="L122" s="5" t="s">
        <v>47</v>
      </c>
      <c r="M122" s="6">
        <v>45492</v>
      </c>
      <c r="N122" s="5" t="s">
        <v>169</v>
      </c>
      <c r="O122" s="3" t="s">
        <v>49</v>
      </c>
      <c r="P122" s="5" t="s">
        <v>177</v>
      </c>
      <c r="Q122" s="3" t="s">
        <v>51</v>
      </c>
      <c r="R122" s="6">
        <v>45603</v>
      </c>
      <c r="S122" s="5" t="s">
        <v>853</v>
      </c>
      <c r="T122" s="5" t="s">
        <v>854</v>
      </c>
      <c r="U122" s="5" t="s">
        <v>855</v>
      </c>
      <c r="V122" s="5" t="s">
        <v>71</v>
      </c>
      <c r="W122" s="5" t="s">
        <v>321</v>
      </c>
      <c r="X122" s="5" t="s">
        <v>45</v>
      </c>
      <c r="Y122" s="5" t="s">
        <v>55</v>
      </c>
      <c r="Z122" s="3" t="s">
        <v>856</v>
      </c>
      <c r="AA122" s="3" t="s">
        <v>201</v>
      </c>
      <c r="AB122" s="5" t="s">
        <v>164</v>
      </c>
      <c r="AC122" s="3">
        <v>30274654</v>
      </c>
      <c r="AD122" s="5" t="s">
        <v>274</v>
      </c>
      <c r="AE122" s="5"/>
      <c r="AF122" s="5" t="s">
        <v>857</v>
      </c>
      <c r="AG122" s="5" t="s">
        <v>246</v>
      </c>
      <c r="AH122" s="5" t="s">
        <v>37</v>
      </c>
      <c r="AI122" s="5"/>
      <c r="AJ122" s="5" t="s">
        <v>39</v>
      </c>
      <c r="AK122" s="5" t="s">
        <v>40</v>
      </c>
      <c r="AL122" s="5"/>
      <c r="AM122" s="5"/>
      <c r="AN122" s="5"/>
    </row>
    <row r="123" spans="1:40" ht="75" x14ac:dyDescent="0.25">
      <c r="A123" s="3">
        <v>119</v>
      </c>
      <c r="B123" s="3" t="s">
        <v>42</v>
      </c>
      <c r="C123" s="4" t="s">
        <v>1261</v>
      </c>
      <c r="D123" s="3" t="s">
        <v>1262</v>
      </c>
      <c r="E123" s="5" t="s">
        <v>858</v>
      </c>
      <c r="F123" s="6">
        <v>26429</v>
      </c>
      <c r="G123" s="6">
        <v>33758</v>
      </c>
      <c r="H123" s="3" t="s">
        <v>77</v>
      </c>
      <c r="I123" s="3" t="s">
        <v>45</v>
      </c>
      <c r="J123" s="3" t="s">
        <v>46</v>
      </c>
      <c r="K123" s="3" t="s">
        <v>709</v>
      </c>
      <c r="L123" s="5"/>
      <c r="M123" s="6">
        <v>37496</v>
      </c>
      <c r="N123" s="5" t="s">
        <v>91</v>
      </c>
      <c r="O123" s="3" t="s">
        <v>48</v>
      </c>
      <c r="P123" s="5" t="s">
        <v>48</v>
      </c>
      <c r="Q123" s="3" t="s">
        <v>859</v>
      </c>
      <c r="R123" s="6">
        <v>45920</v>
      </c>
      <c r="S123" s="5" t="s">
        <v>860</v>
      </c>
      <c r="T123" s="5" t="s">
        <v>861</v>
      </c>
      <c r="U123" s="5" t="s">
        <v>861</v>
      </c>
      <c r="V123" s="5" t="s">
        <v>71</v>
      </c>
      <c r="W123" s="5">
        <v>43597</v>
      </c>
      <c r="X123" s="5"/>
      <c r="Y123" s="5" t="s">
        <v>55</v>
      </c>
      <c r="Z123" s="3" t="s">
        <v>862</v>
      </c>
      <c r="AA123" s="3" t="s">
        <v>57</v>
      </c>
      <c r="AB123" s="5"/>
      <c r="AC123" s="3">
        <v>30475897</v>
      </c>
      <c r="AD123" s="5" t="s">
        <v>274</v>
      </c>
      <c r="AE123" s="5"/>
      <c r="AF123" s="5"/>
      <c r="AG123" s="5"/>
      <c r="AH123" s="5"/>
      <c r="AI123" s="5"/>
      <c r="AJ123" s="5"/>
      <c r="AK123" s="5"/>
      <c r="AL123" s="5"/>
      <c r="AM123" s="5" t="s">
        <v>136</v>
      </c>
      <c r="AN123" s="5"/>
    </row>
    <row r="124" spans="1:40" ht="45" x14ac:dyDescent="0.25">
      <c r="A124" s="3">
        <v>120</v>
      </c>
      <c r="B124" s="3" t="s">
        <v>42</v>
      </c>
      <c r="C124" s="4" t="s">
        <v>863</v>
      </c>
      <c r="D124" s="3" t="s">
        <v>1337</v>
      </c>
      <c r="E124" s="5" t="s">
        <v>864</v>
      </c>
      <c r="F124" s="6">
        <v>30030</v>
      </c>
      <c r="G124" s="6">
        <v>38918</v>
      </c>
      <c r="H124" s="3" t="s">
        <v>156</v>
      </c>
      <c r="I124" s="3" t="s">
        <v>45</v>
      </c>
      <c r="J124" s="3" t="s">
        <v>730</v>
      </c>
      <c r="K124" s="3" t="s">
        <v>195</v>
      </c>
      <c r="L124" s="5" t="s">
        <v>55</v>
      </c>
      <c r="M124" s="6">
        <v>38918</v>
      </c>
      <c r="N124" s="5" t="s">
        <v>81</v>
      </c>
      <c r="O124" s="3" t="s">
        <v>49</v>
      </c>
      <c r="P124" s="5" t="s">
        <v>50</v>
      </c>
      <c r="Q124" s="3" t="s">
        <v>51</v>
      </c>
      <c r="R124" s="6">
        <v>45891</v>
      </c>
      <c r="S124" s="5" t="s">
        <v>865</v>
      </c>
      <c r="T124" s="5" t="s">
        <v>866</v>
      </c>
      <c r="U124" s="5" t="s">
        <v>866</v>
      </c>
      <c r="V124" s="5">
        <v>43774</v>
      </c>
      <c r="W124" s="5">
        <v>41062</v>
      </c>
      <c r="X124" s="5" t="s">
        <v>45</v>
      </c>
      <c r="Y124" s="5" t="s">
        <v>55</v>
      </c>
      <c r="Z124" s="3" t="s">
        <v>867</v>
      </c>
      <c r="AA124" s="3" t="s">
        <v>115</v>
      </c>
      <c r="AB124" s="5" t="s">
        <v>868</v>
      </c>
      <c r="AC124" s="3">
        <v>30475849</v>
      </c>
      <c r="AD124" s="5"/>
      <c r="AE124" s="5"/>
      <c r="AF124" s="5" t="s">
        <v>869</v>
      </c>
      <c r="AG124" s="5" t="s">
        <v>36</v>
      </c>
      <c r="AH124" s="5"/>
      <c r="AI124" s="5" t="s">
        <v>38</v>
      </c>
      <c r="AJ124" s="5"/>
      <c r="AK124" s="5"/>
      <c r="AL124" s="5">
        <v>45089</v>
      </c>
      <c r="AM124" s="5"/>
      <c r="AN124" s="5"/>
    </row>
    <row r="125" spans="1:40" ht="45" x14ac:dyDescent="0.25">
      <c r="A125" s="3">
        <v>121</v>
      </c>
      <c r="B125" s="3" t="s">
        <v>42</v>
      </c>
      <c r="C125" s="4" t="s">
        <v>870</v>
      </c>
      <c r="D125" s="3" t="s">
        <v>1338</v>
      </c>
      <c r="E125" s="5" t="s">
        <v>871</v>
      </c>
      <c r="F125" s="6">
        <v>30996</v>
      </c>
      <c r="G125" s="6">
        <v>38918</v>
      </c>
      <c r="H125" s="3" t="s">
        <v>61</v>
      </c>
      <c r="I125" s="3" t="s">
        <v>45</v>
      </c>
      <c r="J125" s="3" t="s">
        <v>108</v>
      </c>
      <c r="K125" s="3" t="s">
        <v>872</v>
      </c>
      <c r="L125" s="5" t="s">
        <v>130</v>
      </c>
      <c r="M125" s="6">
        <v>45743</v>
      </c>
      <c r="N125" s="5" t="s">
        <v>178</v>
      </c>
      <c r="O125" s="3" t="s">
        <v>49</v>
      </c>
      <c r="P125" s="5" t="s">
        <v>340</v>
      </c>
      <c r="Q125" s="3" t="s">
        <v>51</v>
      </c>
      <c r="R125" s="6">
        <v>45791</v>
      </c>
      <c r="S125" s="5" t="s">
        <v>873</v>
      </c>
      <c r="T125" s="5" t="s">
        <v>874</v>
      </c>
      <c r="U125" s="5" t="s">
        <v>874</v>
      </c>
      <c r="V125" s="5" t="s">
        <v>71</v>
      </c>
      <c r="W125" s="5">
        <v>44111</v>
      </c>
      <c r="X125" s="5" t="s">
        <v>45</v>
      </c>
      <c r="Y125" s="5" t="s">
        <v>55</v>
      </c>
      <c r="Z125" s="3" t="s">
        <v>875</v>
      </c>
      <c r="AA125" s="3" t="s">
        <v>201</v>
      </c>
      <c r="AB125" s="5" t="s">
        <v>74</v>
      </c>
      <c r="AC125" s="3">
        <v>30475594</v>
      </c>
      <c r="AD125" s="5"/>
      <c r="AE125" s="5"/>
      <c r="AF125" s="5"/>
      <c r="AG125" s="5"/>
      <c r="AH125" s="5"/>
      <c r="AI125" s="5"/>
      <c r="AJ125" s="5"/>
      <c r="AK125" s="5"/>
      <c r="AL125" s="5" t="s">
        <v>48</v>
      </c>
      <c r="AM125" s="5" t="s">
        <v>48</v>
      </c>
      <c r="AN125" s="5" t="s">
        <v>101</v>
      </c>
    </row>
    <row r="126" spans="1:40" ht="75" x14ac:dyDescent="0.25">
      <c r="A126" s="3">
        <v>122</v>
      </c>
      <c r="B126" s="3" t="s">
        <v>42</v>
      </c>
      <c r="C126" s="4" t="s">
        <v>1263</v>
      </c>
      <c r="D126" s="3" t="s">
        <v>1264</v>
      </c>
      <c r="E126" s="5" t="s">
        <v>876</v>
      </c>
      <c r="F126" s="6">
        <v>25856</v>
      </c>
      <c r="G126" s="6">
        <v>34139</v>
      </c>
      <c r="H126" s="3" t="s">
        <v>77</v>
      </c>
      <c r="I126" s="3" t="s">
        <v>45</v>
      </c>
      <c r="J126" s="3" t="s">
        <v>45</v>
      </c>
      <c r="K126" s="3" t="s">
        <v>410</v>
      </c>
      <c r="L126" s="5"/>
      <c r="M126" s="6">
        <v>39034</v>
      </c>
      <c r="N126" s="5" t="s">
        <v>81</v>
      </c>
      <c r="O126" s="3" t="s">
        <v>49</v>
      </c>
      <c r="P126" s="5" t="s">
        <v>169</v>
      </c>
      <c r="Q126" s="3" t="s">
        <v>51</v>
      </c>
      <c r="R126" s="6">
        <v>45755</v>
      </c>
      <c r="S126" s="5" t="s">
        <v>877</v>
      </c>
      <c r="T126" s="5" t="s">
        <v>878</v>
      </c>
      <c r="U126" s="5" t="s">
        <v>878</v>
      </c>
      <c r="V126" s="5" t="s">
        <v>321</v>
      </c>
      <c r="W126" s="5">
        <v>44349</v>
      </c>
      <c r="X126" s="5"/>
      <c r="Y126" s="5" t="s">
        <v>55</v>
      </c>
      <c r="Z126" s="3" t="s">
        <v>879</v>
      </c>
      <c r="AA126" s="3" t="s">
        <v>85</v>
      </c>
      <c r="AB126" s="5" t="s">
        <v>153</v>
      </c>
      <c r="AC126" s="3">
        <v>30276888</v>
      </c>
      <c r="AD126" s="5"/>
      <c r="AE126" s="5"/>
      <c r="AF126" s="5"/>
      <c r="AG126" s="5" t="s">
        <v>36</v>
      </c>
      <c r="AH126" s="5"/>
      <c r="AI126" s="5" t="s">
        <v>38</v>
      </c>
      <c r="AJ126" s="5" t="s">
        <v>39</v>
      </c>
      <c r="AK126" s="5" t="s">
        <v>40</v>
      </c>
      <c r="AL126" s="5">
        <v>45058</v>
      </c>
      <c r="AM126" s="5"/>
      <c r="AN126" s="5"/>
    </row>
    <row r="127" spans="1:40" ht="75" x14ac:dyDescent="0.25">
      <c r="A127" s="3">
        <v>123</v>
      </c>
      <c r="B127" s="3" t="s">
        <v>42</v>
      </c>
      <c r="C127" s="4" t="s">
        <v>1265</v>
      </c>
      <c r="D127" s="3" t="s">
        <v>1266</v>
      </c>
      <c r="E127" s="5" t="s">
        <v>880</v>
      </c>
      <c r="F127" s="6">
        <v>25116</v>
      </c>
      <c r="G127" s="6">
        <v>32748</v>
      </c>
      <c r="H127" s="3" t="s">
        <v>881</v>
      </c>
      <c r="I127" s="3" t="s">
        <v>45</v>
      </c>
      <c r="J127" s="3" t="s">
        <v>45</v>
      </c>
      <c r="K127" s="3" t="s">
        <v>318</v>
      </c>
      <c r="L127" s="5" t="s">
        <v>196</v>
      </c>
      <c r="M127" s="6">
        <v>36064</v>
      </c>
      <c r="N127" s="5" t="s">
        <v>81</v>
      </c>
      <c r="O127" s="3" t="s">
        <v>49</v>
      </c>
      <c r="P127" s="5" t="s">
        <v>91</v>
      </c>
      <c r="Q127" s="3" t="s">
        <v>51</v>
      </c>
      <c r="R127" s="6">
        <v>45714</v>
      </c>
      <c r="S127" s="5" t="s">
        <v>882</v>
      </c>
      <c r="T127" s="5" t="s">
        <v>883</v>
      </c>
      <c r="U127" s="5" t="s">
        <v>884</v>
      </c>
      <c r="V127" s="5">
        <v>44690</v>
      </c>
      <c r="W127" s="5" t="s">
        <v>321</v>
      </c>
      <c r="X127" s="5"/>
      <c r="Y127" s="5" t="s">
        <v>55</v>
      </c>
      <c r="Z127" s="3" t="s">
        <v>885</v>
      </c>
      <c r="AA127" s="3" t="s">
        <v>85</v>
      </c>
      <c r="AB127" s="5" t="s">
        <v>886</v>
      </c>
      <c r="AC127" s="3">
        <v>31436236</v>
      </c>
      <c r="AD127" s="5"/>
      <c r="AE127" s="5"/>
      <c r="AF127" s="5" t="s">
        <v>887</v>
      </c>
      <c r="AG127" s="5" t="s">
        <v>36</v>
      </c>
      <c r="AH127" s="5"/>
      <c r="AI127" s="5"/>
      <c r="AJ127" s="5" t="s">
        <v>39</v>
      </c>
      <c r="AK127" s="5" t="s">
        <v>40</v>
      </c>
      <c r="AL127" s="5">
        <v>45054</v>
      </c>
      <c r="AM127" s="5"/>
      <c r="AN127" s="5"/>
    </row>
    <row r="128" spans="1:40" ht="45" x14ac:dyDescent="0.25">
      <c r="A128" s="3">
        <v>124</v>
      </c>
      <c r="B128" s="3" t="s">
        <v>42</v>
      </c>
      <c r="C128" s="4" t="s">
        <v>888</v>
      </c>
      <c r="D128" s="3" t="s">
        <v>1339</v>
      </c>
      <c r="E128" s="5" t="s">
        <v>889</v>
      </c>
      <c r="F128" s="6">
        <v>31726</v>
      </c>
      <c r="G128" s="6">
        <v>38918</v>
      </c>
      <c r="H128" s="3" t="s">
        <v>890</v>
      </c>
      <c r="I128" s="3" t="s">
        <v>45</v>
      </c>
      <c r="J128" s="3" t="s">
        <v>45</v>
      </c>
      <c r="K128" s="3" t="s">
        <v>267</v>
      </c>
      <c r="L128" s="5" t="s">
        <v>130</v>
      </c>
      <c r="M128" s="6">
        <v>45265</v>
      </c>
      <c r="N128" s="5" t="s">
        <v>55</v>
      </c>
      <c r="O128" s="3" t="s">
        <v>121</v>
      </c>
      <c r="P128" s="5" t="s">
        <v>122</v>
      </c>
      <c r="Q128" s="3" t="s">
        <v>122</v>
      </c>
      <c r="R128" s="6">
        <v>41072</v>
      </c>
      <c r="S128" s="5" t="s">
        <v>891</v>
      </c>
      <c r="T128" s="5" t="s">
        <v>892</v>
      </c>
      <c r="U128" s="5" t="s">
        <v>892</v>
      </c>
      <c r="V128" s="5" t="s">
        <v>121</v>
      </c>
      <c r="W128" s="5" t="s">
        <v>121</v>
      </c>
      <c r="X128" s="5" t="s">
        <v>54</v>
      </c>
      <c r="Y128" s="5" t="s">
        <v>55</v>
      </c>
      <c r="Z128" s="3" t="s">
        <v>893</v>
      </c>
      <c r="AA128" s="3" t="s">
        <v>85</v>
      </c>
      <c r="AB128" s="5" t="s">
        <v>97</v>
      </c>
      <c r="AC128" s="3">
        <v>30475270</v>
      </c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ht="60" x14ac:dyDescent="0.25">
      <c r="A129" s="3">
        <v>125</v>
      </c>
      <c r="B129" s="3" t="s">
        <v>42</v>
      </c>
      <c r="C129" s="4" t="s">
        <v>1267</v>
      </c>
      <c r="D129" s="3" t="s">
        <v>1268</v>
      </c>
      <c r="E129" s="5" t="s">
        <v>894</v>
      </c>
      <c r="F129" s="6">
        <v>25945</v>
      </c>
      <c r="G129" s="6">
        <v>35071</v>
      </c>
      <c r="H129" s="3" t="s">
        <v>77</v>
      </c>
      <c r="I129" s="3" t="s">
        <v>45</v>
      </c>
      <c r="J129" s="3" t="s">
        <v>45</v>
      </c>
      <c r="K129" s="3" t="s">
        <v>100</v>
      </c>
      <c r="L129" s="5" t="s">
        <v>130</v>
      </c>
      <c r="M129" s="6">
        <v>44286</v>
      </c>
      <c r="N129" s="5" t="s">
        <v>339</v>
      </c>
      <c r="O129" s="3" t="s">
        <v>49</v>
      </c>
      <c r="P129" s="5" t="s">
        <v>81</v>
      </c>
      <c r="Q129" s="3" t="s">
        <v>51</v>
      </c>
      <c r="R129" s="6">
        <v>45797</v>
      </c>
      <c r="S129" s="5" t="s">
        <v>895</v>
      </c>
      <c r="T129" s="5" t="s">
        <v>896</v>
      </c>
      <c r="U129" s="5" t="s">
        <v>897</v>
      </c>
      <c r="V129" s="5">
        <v>41968</v>
      </c>
      <c r="W129" s="5" t="s">
        <v>321</v>
      </c>
      <c r="X129" s="5"/>
      <c r="Y129" s="5" t="s">
        <v>55</v>
      </c>
      <c r="Z129" s="3" t="s">
        <v>898</v>
      </c>
      <c r="AA129" s="3" t="s">
        <v>57</v>
      </c>
      <c r="AB129" s="5" t="s">
        <v>127</v>
      </c>
      <c r="AC129" s="3">
        <v>30475340</v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 t="s">
        <v>136</v>
      </c>
      <c r="AN129" s="5"/>
    </row>
    <row r="130" spans="1:40" ht="45" x14ac:dyDescent="0.25">
      <c r="A130" s="3">
        <v>126</v>
      </c>
      <c r="B130" s="3" t="s">
        <v>42</v>
      </c>
      <c r="C130" s="4" t="s">
        <v>899</v>
      </c>
      <c r="D130" s="3" t="s">
        <v>1340</v>
      </c>
      <c r="E130" s="5" t="s">
        <v>900</v>
      </c>
      <c r="F130" s="6">
        <v>30536</v>
      </c>
      <c r="G130" s="6">
        <v>38315</v>
      </c>
      <c r="H130" s="3" t="s">
        <v>44</v>
      </c>
      <c r="I130" s="3" t="s">
        <v>45</v>
      </c>
      <c r="J130" s="3" t="s">
        <v>730</v>
      </c>
      <c r="K130" s="3" t="s">
        <v>258</v>
      </c>
      <c r="L130" s="5" t="s">
        <v>130</v>
      </c>
      <c r="M130" s="6">
        <v>45265</v>
      </c>
      <c r="N130" s="5" t="s">
        <v>901</v>
      </c>
      <c r="O130" s="3" t="s">
        <v>121</v>
      </c>
      <c r="P130" s="5" t="s">
        <v>123</v>
      </c>
      <c r="Q130" s="3" t="s">
        <v>122</v>
      </c>
      <c r="R130" s="6">
        <v>39983</v>
      </c>
      <c r="S130" s="5" t="s">
        <v>902</v>
      </c>
      <c r="T130" s="5" t="s">
        <v>903</v>
      </c>
      <c r="U130" s="5" t="s">
        <v>903</v>
      </c>
      <c r="V130" s="5" t="s">
        <v>121</v>
      </c>
      <c r="W130" s="5" t="s">
        <v>121</v>
      </c>
      <c r="X130" s="5" t="s">
        <v>54</v>
      </c>
      <c r="Y130" s="5" t="s">
        <v>55</v>
      </c>
      <c r="Z130" s="3" t="s">
        <v>904</v>
      </c>
      <c r="AA130" s="3" t="s">
        <v>57</v>
      </c>
      <c r="AB130" s="5" t="s">
        <v>97</v>
      </c>
      <c r="AC130" s="3">
        <v>31283579</v>
      </c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60" x14ac:dyDescent="0.25">
      <c r="A131" s="3">
        <v>127</v>
      </c>
      <c r="B131" s="3" t="s">
        <v>42</v>
      </c>
      <c r="C131" s="4" t="s">
        <v>905</v>
      </c>
      <c r="D131" s="40" t="s">
        <v>1341</v>
      </c>
      <c r="E131" s="5" t="s">
        <v>906</v>
      </c>
      <c r="F131" s="6">
        <v>31458</v>
      </c>
      <c r="G131" s="6">
        <v>38918</v>
      </c>
      <c r="H131" s="3" t="s">
        <v>597</v>
      </c>
      <c r="I131" s="3" t="s">
        <v>45</v>
      </c>
      <c r="J131" s="3" t="s">
        <v>108</v>
      </c>
      <c r="K131" s="3" t="s">
        <v>206</v>
      </c>
      <c r="L131" s="5" t="s">
        <v>55</v>
      </c>
      <c r="M131" s="6">
        <v>38918</v>
      </c>
      <c r="N131" s="5" t="s">
        <v>169</v>
      </c>
      <c r="O131" s="3" t="s">
        <v>49</v>
      </c>
      <c r="P131" s="5" t="s">
        <v>907</v>
      </c>
      <c r="Q131" s="3" t="s">
        <v>51</v>
      </c>
      <c r="R131" s="6">
        <v>45865</v>
      </c>
      <c r="S131" s="5" t="s">
        <v>908</v>
      </c>
      <c r="T131" s="5" t="s">
        <v>909</v>
      </c>
      <c r="U131" s="5" t="s">
        <v>909</v>
      </c>
      <c r="V131" s="5" t="s">
        <v>71</v>
      </c>
      <c r="W131" s="5" t="s">
        <v>261</v>
      </c>
      <c r="X131" s="5" t="s">
        <v>54</v>
      </c>
      <c r="Y131" s="5" t="s">
        <v>55</v>
      </c>
      <c r="Z131" s="3" t="s">
        <v>910</v>
      </c>
      <c r="AA131" s="3" t="s">
        <v>57</v>
      </c>
      <c r="AB131" s="5" t="s">
        <v>164</v>
      </c>
      <c r="AC131" s="3">
        <v>30475680</v>
      </c>
      <c r="AD131" s="5" t="s">
        <v>274</v>
      </c>
      <c r="AE131" s="5"/>
      <c r="AF131" s="5"/>
      <c r="AG131" s="5"/>
      <c r="AH131" s="5"/>
      <c r="AI131" s="5"/>
      <c r="AJ131" s="5"/>
      <c r="AK131" s="5"/>
      <c r="AL131" s="5" t="s">
        <v>121</v>
      </c>
      <c r="AM131" s="5" t="s">
        <v>122</v>
      </c>
      <c r="AN131" s="5" t="s">
        <v>122</v>
      </c>
    </row>
    <row r="132" spans="1:40" ht="75" x14ac:dyDescent="0.25">
      <c r="A132" s="3">
        <v>128</v>
      </c>
      <c r="B132" s="3" t="s">
        <v>42</v>
      </c>
      <c r="C132" s="4" t="s">
        <v>1269</v>
      </c>
      <c r="D132" s="3" t="s">
        <v>1270</v>
      </c>
      <c r="E132" s="5" t="s">
        <v>911</v>
      </c>
      <c r="F132" s="6">
        <v>25020</v>
      </c>
      <c r="G132" s="6">
        <v>33789</v>
      </c>
      <c r="H132" s="3" t="s">
        <v>129</v>
      </c>
      <c r="I132" s="3" t="s">
        <v>145</v>
      </c>
      <c r="J132" s="3" t="s">
        <v>912</v>
      </c>
      <c r="K132" s="3" t="s">
        <v>913</v>
      </c>
      <c r="L132" s="5" t="s">
        <v>90</v>
      </c>
      <c r="M132" s="6">
        <v>45853</v>
      </c>
      <c r="N132" s="5" t="s">
        <v>48</v>
      </c>
      <c r="O132" s="3" t="s">
        <v>49</v>
      </c>
      <c r="P132" s="5" t="s">
        <v>232</v>
      </c>
      <c r="Q132" s="3" t="s">
        <v>51</v>
      </c>
      <c r="R132" s="6">
        <v>45860</v>
      </c>
      <c r="S132" s="5" t="s">
        <v>914</v>
      </c>
      <c r="T132" s="5" t="s">
        <v>915</v>
      </c>
      <c r="U132" s="5" t="s">
        <v>916</v>
      </c>
      <c r="V132" s="5">
        <v>41353</v>
      </c>
      <c r="W132" s="5">
        <v>44690</v>
      </c>
      <c r="X132" s="5"/>
      <c r="Y132" s="5" t="s">
        <v>55</v>
      </c>
      <c r="Z132" s="3" t="s">
        <v>917</v>
      </c>
      <c r="AA132" s="3" t="s">
        <v>115</v>
      </c>
      <c r="AB132" s="5" t="s">
        <v>263</v>
      </c>
      <c r="AC132" s="3">
        <v>31423779</v>
      </c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ht="75" x14ac:dyDescent="0.25">
      <c r="A133" s="3">
        <v>129</v>
      </c>
      <c r="B133" s="3" t="s">
        <v>42</v>
      </c>
      <c r="C133" s="4" t="s">
        <v>918</v>
      </c>
      <c r="D133" s="3" t="s">
        <v>1342</v>
      </c>
      <c r="E133" s="5" t="s">
        <v>919</v>
      </c>
      <c r="F133" s="6">
        <v>30864</v>
      </c>
      <c r="G133" s="6">
        <v>38918</v>
      </c>
      <c r="H133" s="3" t="s">
        <v>44</v>
      </c>
      <c r="I133" s="3" t="s">
        <v>45</v>
      </c>
      <c r="J133" s="3" t="s">
        <v>108</v>
      </c>
      <c r="K133" s="3" t="s">
        <v>109</v>
      </c>
      <c r="L133" s="5" t="s">
        <v>130</v>
      </c>
      <c r="M133" s="6">
        <v>45265</v>
      </c>
      <c r="N133" s="5" t="s">
        <v>55</v>
      </c>
      <c r="O133" s="3" t="s">
        <v>121</v>
      </c>
      <c r="P133" s="5" t="s">
        <v>122</v>
      </c>
      <c r="Q133" s="3" t="s">
        <v>920</v>
      </c>
      <c r="R133" s="6">
        <v>41110</v>
      </c>
      <c r="S133" s="5" t="s">
        <v>921</v>
      </c>
      <c r="T133" s="5" t="s">
        <v>922</v>
      </c>
      <c r="U133" s="5" t="s">
        <v>922</v>
      </c>
      <c r="V133" s="5" t="s">
        <v>121</v>
      </c>
      <c r="W133" s="5" t="s">
        <v>121</v>
      </c>
      <c r="X133" s="5" t="s">
        <v>54</v>
      </c>
      <c r="Y133" s="5" t="s">
        <v>55</v>
      </c>
      <c r="Z133" s="3" t="s">
        <v>923</v>
      </c>
      <c r="AA133" s="3" t="s">
        <v>85</v>
      </c>
      <c r="AB133" s="5" t="s">
        <v>116</v>
      </c>
      <c r="AC133" s="3">
        <v>30475323</v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ht="45" x14ac:dyDescent="0.25">
      <c r="A134" s="3">
        <v>130</v>
      </c>
      <c r="B134" s="3" t="s">
        <v>42</v>
      </c>
      <c r="C134" s="4" t="s">
        <v>924</v>
      </c>
      <c r="D134" s="3" t="s">
        <v>1343</v>
      </c>
      <c r="E134" s="5" t="s">
        <v>925</v>
      </c>
      <c r="F134" s="6">
        <v>28589</v>
      </c>
      <c r="G134" s="6">
        <v>36178</v>
      </c>
      <c r="H134" s="3" t="s">
        <v>44</v>
      </c>
      <c r="I134" s="3" t="s">
        <v>45</v>
      </c>
      <c r="J134" s="3" t="s">
        <v>45</v>
      </c>
      <c r="K134" s="3" t="s">
        <v>410</v>
      </c>
      <c r="L134" s="5"/>
      <c r="M134" s="6">
        <v>38824</v>
      </c>
      <c r="N134" s="5" t="s">
        <v>50</v>
      </c>
      <c r="O134" s="3" t="s">
        <v>49</v>
      </c>
      <c r="P134" s="5" t="s">
        <v>81</v>
      </c>
      <c r="Q134" s="3" t="s">
        <v>51</v>
      </c>
      <c r="R134" s="6">
        <v>45920</v>
      </c>
      <c r="S134" s="5" t="s">
        <v>926</v>
      </c>
      <c r="T134" s="5" t="s">
        <v>927</v>
      </c>
      <c r="U134" s="5" t="s">
        <v>928</v>
      </c>
      <c r="V134" s="5">
        <v>44762</v>
      </c>
      <c r="W134" s="5">
        <v>44690</v>
      </c>
      <c r="X134" s="5" t="s">
        <v>45</v>
      </c>
      <c r="Y134" s="5" t="s">
        <v>72</v>
      </c>
      <c r="Z134" s="3" t="s">
        <v>929</v>
      </c>
      <c r="AA134" s="3" t="s">
        <v>115</v>
      </c>
      <c r="AB134" s="5" t="s">
        <v>930</v>
      </c>
      <c r="AC134" s="3">
        <v>30476221</v>
      </c>
      <c r="AD134" s="5" t="s">
        <v>274</v>
      </c>
      <c r="AE134" s="5"/>
      <c r="AF134" s="5"/>
      <c r="AG134" s="5"/>
      <c r="AH134" s="5"/>
      <c r="AI134" s="5"/>
      <c r="AJ134" s="5"/>
      <c r="AK134" s="5"/>
      <c r="AL134" s="5">
        <v>45089</v>
      </c>
      <c r="AM134" s="5"/>
      <c r="AN134" s="5"/>
    </row>
    <row r="135" spans="1:40" ht="60" x14ac:dyDescent="0.25">
      <c r="A135" s="3">
        <v>131</v>
      </c>
      <c r="B135" s="3" t="s">
        <v>42</v>
      </c>
      <c r="C135" s="4" t="s">
        <v>1271</v>
      </c>
      <c r="D135" s="3" t="s">
        <v>1272</v>
      </c>
      <c r="E135" s="5" t="s">
        <v>931</v>
      </c>
      <c r="F135" s="6">
        <v>25968</v>
      </c>
      <c r="G135" s="6">
        <v>33927</v>
      </c>
      <c r="H135" s="3" t="s">
        <v>77</v>
      </c>
      <c r="I135" s="3" t="s">
        <v>45</v>
      </c>
      <c r="J135" s="3" t="s">
        <v>108</v>
      </c>
      <c r="K135" s="3" t="s">
        <v>206</v>
      </c>
      <c r="L135" s="5"/>
      <c r="M135" s="6">
        <v>40224</v>
      </c>
      <c r="N135" s="5" t="s">
        <v>48</v>
      </c>
      <c r="O135" s="3" t="s">
        <v>49</v>
      </c>
      <c r="P135" s="5" t="s">
        <v>340</v>
      </c>
      <c r="Q135" s="3" t="s">
        <v>51</v>
      </c>
      <c r="R135" s="6">
        <v>45891</v>
      </c>
      <c r="S135" s="5" t="s">
        <v>932</v>
      </c>
      <c r="T135" s="5" t="s">
        <v>933</v>
      </c>
      <c r="U135" s="5" t="s">
        <v>933</v>
      </c>
      <c r="V135" s="5">
        <v>42371</v>
      </c>
      <c r="W135" s="5">
        <v>41440</v>
      </c>
      <c r="X135" s="5"/>
      <c r="Y135" s="5" t="s">
        <v>55</v>
      </c>
      <c r="Z135" s="3" t="s">
        <v>934</v>
      </c>
      <c r="AA135" s="3" t="s">
        <v>85</v>
      </c>
      <c r="AB135" s="5" t="s">
        <v>935</v>
      </c>
      <c r="AC135" s="3">
        <v>31453694</v>
      </c>
      <c r="AD135" s="5"/>
      <c r="AE135" s="5"/>
      <c r="AF135" s="5"/>
      <c r="AG135" s="5" t="s">
        <v>36</v>
      </c>
      <c r="AH135" s="5"/>
      <c r="AI135" s="5" t="s">
        <v>38</v>
      </c>
      <c r="AJ135" s="5"/>
      <c r="AK135" s="5"/>
      <c r="AL135" s="5">
        <v>45054</v>
      </c>
      <c r="AM135" s="5"/>
      <c r="AN135" s="5"/>
    </row>
    <row r="136" spans="1:40" ht="45" x14ac:dyDescent="0.25">
      <c r="A136" s="3">
        <v>132</v>
      </c>
      <c r="B136" s="3" t="s">
        <v>42</v>
      </c>
      <c r="C136" s="4" t="s">
        <v>936</v>
      </c>
      <c r="D136" s="3" t="s">
        <v>1344</v>
      </c>
      <c r="E136" s="5" t="s">
        <v>937</v>
      </c>
      <c r="F136" s="6">
        <v>29632</v>
      </c>
      <c r="G136" s="6">
        <v>38884</v>
      </c>
      <c r="H136" s="3" t="s">
        <v>156</v>
      </c>
      <c r="I136" s="3" t="s">
        <v>45</v>
      </c>
      <c r="J136" s="3" t="s">
        <v>730</v>
      </c>
      <c r="K136" s="3" t="s">
        <v>258</v>
      </c>
      <c r="L136" s="5" t="s">
        <v>130</v>
      </c>
      <c r="M136" s="6">
        <v>45617</v>
      </c>
      <c r="N136" s="5" t="s">
        <v>169</v>
      </c>
      <c r="O136" s="3" t="s">
        <v>49</v>
      </c>
      <c r="P136" s="5" t="s">
        <v>214</v>
      </c>
      <c r="Q136" s="3" t="s">
        <v>51</v>
      </c>
      <c r="R136" s="6">
        <v>45637</v>
      </c>
      <c r="S136" s="5" t="s">
        <v>938</v>
      </c>
      <c r="T136" s="5" t="s">
        <v>939</v>
      </c>
      <c r="U136" s="5" t="s">
        <v>939</v>
      </c>
      <c r="V136" s="5" t="s">
        <v>71</v>
      </c>
      <c r="W136" s="5">
        <v>43466</v>
      </c>
      <c r="X136" s="5" t="s">
        <v>45</v>
      </c>
      <c r="Y136" s="5" t="s">
        <v>55</v>
      </c>
      <c r="Z136" s="3" t="s">
        <v>940</v>
      </c>
      <c r="AA136" s="3" t="s">
        <v>941</v>
      </c>
      <c r="AB136" s="5" t="s">
        <v>164</v>
      </c>
      <c r="AC136" s="3">
        <v>30476209</v>
      </c>
      <c r="AD136" s="5"/>
      <c r="AE136" s="5"/>
      <c r="AF136" s="5"/>
      <c r="AG136" s="5"/>
      <c r="AH136" s="5"/>
      <c r="AI136" s="5"/>
      <c r="AJ136" s="5"/>
      <c r="AK136" s="5"/>
      <c r="AL136" s="5" t="s">
        <v>49</v>
      </c>
      <c r="AM136" s="5" t="s">
        <v>242</v>
      </c>
      <c r="AN136" s="5" t="s">
        <v>386</v>
      </c>
    </row>
    <row r="137" spans="1:40" ht="60" x14ac:dyDescent="0.25">
      <c r="A137" s="3">
        <v>133</v>
      </c>
      <c r="B137" s="3" t="s">
        <v>42</v>
      </c>
      <c r="C137" s="4" t="s">
        <v>942</v>
      </c>
      <c r="D137" s="3" t="s">
        <v>1345</v>
      </c>
      <c r="E137" s="5" t="s">
        <v>943</v>
      </c>
      <c r="F137" s="6">
        <v>31152</v>
      </c>
      <c r="G137" s="6">
        <v>38912</v>
      </c>
      <c r="H137" s="3" t="s">
        <v>77</v>
      </c>
      <c r="I137" s="3" t="s">
        <v>45</v>
      </c>
      <c r="J137" s="3" t="s">
        <v>45</v>
      </c>
      <c r="K137" s="3" t="s">
        <v>267</v>
      </c>
      <c r="L137" s="5" t="s">
        <v>130</v>
      </c>
      <c r="M137" s="6">
        <v>45265</v>
      </c>
      <c r="N137" s="5" t="s">
        <v>250</v>
      </c>
      <c r="O137" s="3" t="s">
        <v>49</v>
      </c>
      <c r="P137" s="5" t="s">
        <v>242</v>
      </c>
      <c r="Q137" s="3" t="s">
        <v>51</v>
      </c>
      <c r="R137" s="6">
        <v>45891</v>
      </c>
      <c r="S137" s="5" t="s">
        <v>944</v>
      </c>
      <c r="T137" s="5" t="s">
        <v>945</v>
      </c>
      <c r="U137" s="5" t="s">
        <v>945</v>
      </c>
      <c r="V137" s="5">
        <v>44302</v>
      </c>
      <c r="W137" s="5">
        <v>44179</v>
      </c>
      <c r="X137" s="5" t="s">
        <v>45</v>
      </c>
      <c r="Y137" s="5" t="s">
        <v>55</v>
      </c>
      <c r="Z137" s="3" t="s">
        <v>946</v>
      </c>
      <c r="AA137" s="3" t="s">
        <v>115</v>
      </c>
      <c r="AB137" s="5" t="s">
        <v>127</v>
      </c>
      <c r="AC137" s="3">
        <v>30475916</v>
      </c>
      <c r="AD137" s="5"/>
      <c r="AE137" s="5" t="s">
        <v>165</v>
      </c>
      <c r="AF137" s="5"/>
      <c r="AG137" s="5" t="s">
        <v>36</v>
      </c>
      <c r="AH137" s="5"/>
      <c r="AI137" s="5"/>
      <c r="AJ137" s="5" t="s">
        <v>39</v>
      </c>
      <c r="AK137" s="5" t="s">
        <v>40</v>
      </c>
      <c r="AL137" s="5"/>
      <c r="AM137" s="5"/>
      <c r="AN137" s="5"/>
    </row>
    <row r="138" spans="1:40" ht="45" x14ac:dyDescent="0.25">
      <c r="A138" s="3">
        <v>134</v>
      </c>
      <c r="B138" s="3" t="s">
        <v>42</v>
      </c>
      <c r="C138" s="4" t="s">
        <v>947</v>
      </c>
      <c r="D138" s="3" t="s">
        <v>1346</v>
      </c>
      <c r="E138" s="5" t="s">
        <v>948</v>
      </c>
      <c r="F138" s="6">
        <v>31547</v>
      </c>
      <c r="G138" s="6">
        <v>38918</v>
      </c>
      <c r="H138" s="3" t="s">
        <v>129</v>
      </c>
      <c r="I138" s="3" t="s">
        <v>45</v>
      </c>
      <c r="J138" s="3" t="s">
        <v>108</v>
      </c>
      <c r="K138" s="3" t="s">
        <v>872</v>
      </c>
      <c r="L138" s="5" t="s">
        <v>90</v>
      </c>
      <c r="M138" s="6">
        <v>45826</v>
      </c>
      <c r="N138" s="5" t="s">
        <v>48</v>
      </c>
      <c r="O138" s="3" t="s">
        <v>49</v>
      </c>
      <c r="P138" s="5" t="s">
        <v>169</v>
      </c>
      <c r="Q138" s="3" t="s">
        <v>51</v>
      </c>
      <c r="R138" s="6">
        <v>45833</v>
      </c>
      <c r="S138" s="5" t="s">
        <v>949</v>
      </c>
      <c r="T138" s="5" t="s">
        <v>950</v>
      </c>
      <c r="U138" s="5" t="s">
        <v>950</v>
      </c>
      <c r="V138" s="5">
        <v>41748</v>
      </c>
      <c r="W138" s="5">
        <v>40288</v>
      </c>
      <c r="X138" s="5" t="s">
        <v>54</v>
      </c>
      <c r="Y138" s="5"/>
      <c r="Z138" s="3" t="s">
        <v>951</v>
      </c>
      <c r="AA138" s="3" t="s">
        <v>85</v>
      </c>
      <c r="AB138" s="5" t="s">
        <v>952</v>
      </c>
      <c r="AC138" s="3">
        <v>30476229</v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ht="75" x14ac:dyDescent="0.25">
      <c r="A139" s="3">
        <v>135</v>
      </c>
      <c r="B139" s="3" t="s">
        <v>42</v>
      </c>
      <c r="C139" s="4" t="s">
        <v>1273</v>
      </c>
      <c r="D139" s="3" t="s">
        <v>1274</v>
      </c>
      <c r="E139" s="5" t="s">
        <v>953</v>
      </c>
      <c r="F139" s="6">
        <v>26846</v>
      </c>
      <c r="G139" s="6">
        <v>33156</v>
      </c>
      <c r="H139" s="3" t="s">
        <v>77</v>
      </c>
      <c r="I139" s="3" t="s">
        <v>45</v>
      </c>
      <c r="J139" s="3" t="s">
        <v>46</v>
      </c>
      <c r="K139" s="3" t="s">
        <v>480</v>
      </c>
      <c r="L139" s="5" t="s">
        <v>47</v>
      </c>
      <c r="M139" s="6">
        <v>45492</v>
      </c>
      <c r="N139" s="5" t="s">
        <v>434</v>
      </c>
      <c r="O139" s="3" t="s">
        <v>49</v>
      </c>
      <c r="P139" s="5" t="s">
        <v>242</v>
      </c>
      <c r="Q139" s="3" t="s">
        <v>51</v>
      </c>
      <c r="R139" s="6">
        <v>45911</v>
      </c>
      <c r="S139" s="5" t="s">
        <v>954</v>
      </c>
      <c r="T139" s="5" t="s">
        <v>955</v>
      </c>
      <c r="U139" s="5" t="s">
        <v>955</v>
      </c>
      <c r="V139" s="5">
        <v>38784</v>
      </c>
      <c r="W139" s="5">
        <v>37805</v>
      </c>
      <c r="X139" s="5"/>
      <c r="Y139" s="5" t="s">
        <v>172</v>
      </c>
      <c r="Z139" s="3" t="s">
        <v>956</v>
      </c>
      <c r="AA139" s="3" t="s">
        <v>201</v>
      </c>
      <c r="AB139" s="5" t="s">
        <v>164</v>
      </c>
      <c r="AC139" s="3">
        <v>31381337</v>
      </c>
      <c r="AD139" s="5"/>
      <c r="AE139" s="5"/>
      <c r="AF139" s="5" t="s">
        <v>957</v>
      </c>
      <c r="AG139" s="5" t="s">
        <v>246</v>
      </c>
      <c r="AH139" s="5" t="s">
        <v>37</v>
      </c>
      <c r="AI139" s="5" t="s">
        <v>38</v>
      </c>
      <c r="AJ139" s="5" t="s">
        <v>39</v>
      </c>
      <c r="AK139" s="5" t="s">
        <v>40</v>
      </c>
      <c r="AL139" s="5"/>
      <c r="AM139" s="5"/>
      <c r="AN139" s="5"/>
    </row>
    <row r="140" spans="1:40" ht="60" x14ac:dyDescent="0.25">
      <c r="A140" s="3">
        <v>136</v>
      </c>
      <c r="B140" s="3" t="s">
        <v>42</v>
      </c>
      <c r="C140" s="4" t="s">
        <v>958</v>
      </c>
      <c r="D140" s="3" t="s">
        <v>1347</v>
      </c>
      <c r="E140" s="5" t="s">
        <v>959</v>
      </c>
      <c r="F140" s="6">
        <v>32507</v>
      </c>
      <c r="G140" s="6">
        <v>38918</v>
      </c>
      <c r="H140" s="3" t="s">
        <v>129</v>
      </c>
      <c r="I140" s="3" t="s">
        <v>45</v>
      </c>
      <c r="J140" s="3" t="s">
        <v>119</v>
      </c>
      <c r="K140" s="3" t="s">
        <v>120</v>
      </c>
      <c r="L140" s="5" t="s">
        <v>196</v>
      </c>
      <c r="M140" s="6">
        <v>43069</v>
      </c>
      <c r="N140" s="5" t="s">
        <v>48</v>
      </c>
      <c r="O140" s="3" t="s">
        <v>49</v>
      </c>
      <c r="P140" s="5" t="s">
        <v>50</v>
      </c>
      <c r="Q140" s="3" t="s">
        <v>51</v>
      </c>
      <c r="R140" s="6">
        <v>45547</v>
      </c>
      <c r="S140" s="5" t="s">
        <v>960</v>
      </c>
      <c r="T140" s="5" t="s">
        <v>961</v>
      </c>
      <c r="U140" s="5" t="s">
        <v>961</v>
      </c>
      <c r="V140" s="5">
        <v>43346</v>
      </c>
      <c r="W140" s="5" t="s">
        <v>321</v>
      </c>
      <c r="X140" s="5" t="s">
        <v>45</v>
      </c>
      <c r="Y140" s="5" t="s">
        <v>72</v>
      </c>
      <c r="Z140" s="3" t="s">
        <v>962</v>
      </c>
      <c r="AA140" s="3" t="s">
        <v>85</v>
      </c>
      <c r="AB140" s="5" t="s">
        <v>963</v>
      </c>
      <c r="AC140" s="3">
        <v>30475582</v>
      </c>
      <c r="AD140" s="5"/>
      <c r="AE140" s="5"/>
      <c r="AF140" s="5" t="s">
        <v>964</v>
      </c>
      <c r="AG140" s="5"/>
      <c r="AH140" s="5"/>
      <c r="AI140" s="5"/>
      <c r="AJ140" s="5"/>
      <c r="AK140" s="5"/>
      <c r="AL140" s="5"/>
      <c r="AM140" s="5"/>
      <c r="AN140" s="5"/>
    </row>
    <row r="141" spans="1:40" ht="60" x14ac:dyDescent="0.25">
      <c r="A141" s="3">
        <v>137</v>
      </c>
      <c r="B141" s="3" t="s">
        <v>42</v>
      </c>
      <c r="C141" s="4" t="s">
        <v>965</v>
      </c>
      <c r="D141" s="3" t="s">
        <v>1348</v>
      </c>
      <c r="E141" s="5" t="s">
        <v>966</v>
      </c>
      <c r="F141" s="6">
        <v>30965</v>
      </c>
      <c r="G141" s="6">
        <v>38918</v>
      </c>
      <c r="H141" s="3" t="s">
        <v>44</v>
      </c>
      <c r="I141" s="3" t="s">
        <v>45</v>
      </c>
      <c r="J141" s="3" t="s">
        <v>119</v>
      </c>
      <c r="K141" s="3" t="s">
        <v>633</v>
      </c>
      <c r="L141" s="5" t="s">
        <v>110</v>
      </c>
      <c r="M141" s="6">
        <v>45166</v>
      </c>
      <c r="N141" s="5" t="s">
        <v>65</v>
      </c>
      <c r="O141" s="3" t="s">
        <v>49</v>
      </c>
      <c r="P141" s="5" t="s">
        <v>389</v>
      </c>
      <c r="Q141" s="3" t="s">
        <v>51</v>
      </c>
      <c r="R141" s="6">
        <v>45744</v>
      </c>
      <c r="S141" s="5" t="s">
        <v>967</v>
      </c>
      <c r="T141" s="5" t="s">
        <v>968</v>
      </c>
      <c r="U141" s="5" t="s">
        <v>968</v>
      </c>
      <c r="V141" s="5">
        <v>42223</v>
      </c>
      <c r="W141" s="5">
        <v>42461</v>
      </c>
      <c r="X141" s="5"/>
      <c r="Y141" s="5"/>
      <c r="Z141" s="3" t="s">
        <v>969</v>
      </c>
      <c r="AA141" s="3" t="s">
        <v>85</v>
      </c>
      <c r="AB141" s="5" t="s">
        <v>127</v>
      </c>
      <c r="AC141" s="3">
        <v>30475319</v>
      </c>
      <c r="AD141" s="5"/>
      <c r="AE141" s="5"/>
      <c r="AF141" s="5" t="s">
        <v>970</v>
      </c>
      <c r="AG141" s="5" t="s">
        <v>246</v>
      </c>
      <c r="AH141" s="5" t="s">
        <v>37</v>
      </c>
      <c r="AI141" s="5" t="s">
        <v>38</v>
      </c>
      <c r="AJ141" s="5" t="s">
        <v>39</v>
      </c>
      <c r="AK141" s="5" t="s">
        <v>40</v>
      </c>
      <c r="AL141" s="5"/>
      <c r="AM141" s="5"/>
      <c r="AN141" s="5"/>
    </row>
    <row r="142" spans="1:40" ht="90" x14ac:dyDescent="0.25">
      <c r="A142" s="3">
        <v>138</v>
      </c>
      <c r="B142" s="13" t="s">
        <v>42</v>
      </c>
      <c r="C142" s="44" t="s">
        <v>1275</v>
      </c>
      <c r="D142" s="3" t="s">
        <v>1276</v>
      </c>
      <c r="E142" s="10" t="s">
        <v>971</v>
      </c>
      <c r="F142" s="11">
        <v>28493</v>
      </c>
      <c r="G142" s="11">
        <v>37512</v>
      </c>
      <c r="H142" s="12" t="s">
        <v>972</v>
      </c>
      <c r="I142" s="13" t="s">
        <v>45</v>
      </c>
      <c r="J142" s="14" t="s">
        <v>709</v>
      </c>
      <c r="K142" s="15" t="s">
        <v>480</v>
      </c>
      <c r="L142" s="16"/>
      <c r="M142" s="16">
        <v>32069</v>
      </c>
      <c r="N142" s="5" t="s">
        <v>65</v>
      </c>
      <c r="O142" s="17" t="s">
        <v>49</v>
      </c>
      <c r="P142" s="5" t="s">
        <v>214</v>
      </c>
      <c r="Q142" s="3" t="s">
        <v>51</v>
      </c>
      <c r="R142" s="19">
        <v>45920</v>
      </c>
      <c r="S142" s="20" t="s">
        <v>973</v>
      </c>
      <c r="T142" s="21" t="s">
        <v>974</v>
      </c>
      <c r="U142" s="21" t="s">
        <v>974</v>
      </c>
      <c r="V142" s="22">
        <v>41807</v>
      </c>
      <c r="W142" s="23">
        <v>42825</v>
      </c>
      <c r="X142" s="23"/>
      <c r="Y142" s="24" t="s">
        <v>55</v>
      </c>
      <c r="Z142" s="25" t="s">
        <v>975</v>
      </c>
      <c r="AA142" s="15" t="s">
        <v>85</v>
      </c>
      <c r="AB142" s="17" t="s">
        <v>86</v>
      </c>
      <c r="AC142" s="17">
        <v>31080043</v>
      </c>
      <c r="AD142" s="17"/>
      <c r="AE142" s="17"/>
      <c r="AF142" s="17"/>
      <c r="AG142" s="17" t="s">
        <v>246</v>
      </c>
      <c r="AH142" s="17" t="s">
        <v>37</v>
      </c>
      <c r="AI142" s="17"/>
      <c r="AJ142" s="26" t="s">
        <v>39</v>
      </c>
      <c r="AK142" s="26" t="s">
        <v>40</v>
      </c>
      <c r="AL142" s="17">
        <v>45056</v>
      </c>
      <c r="AM142" s="27"/>
      <c r="AN142" s="12"/>
    </row>
    <row r="143" spans="1:40" ht="60" x14ac:dyDescent="0.25">
      <c r="A143" s="3">
        <v>139</v>
      </c>
      <c r="B143" s="3" t="s">
        <v>42</v>
      </c>
      <c r="C143" s="4" t="s">
        <v>976</v>
      </c>
      <c r="D143" s="3" t="s">
        <v>1349</v>
      </c>
      <c r="E143" s="5" t="s">
        <v>977</v>
      </c>
      <c r="F143" s="6">
        <v>27249</v>
      </c>
      <c r="G143" s="6">
        <v>34756</v>
      </c>
      <c r="H143" s="3" t="s">
        <v>77</v>
      </c>
      <c r="I143" s="3" t="s">
        <v>458</v>
      </c>
      <c r="J143" s="3" t="s">
        <v>458</v>
      </c>
      <c r="K143" s="3" t="s">
        <v>978</v>
      </c>
      <c r="L143" s="5" t="s">
        <v>213</v>
      </c>
      <c r="M143" s="6">
        <v>45147</v>
      </c>
      <c r="N143" s="5" t="s">
        <v>177</v>
      </c>
      <c r="O143" s="3" t="s">
        <v>49</v>
      </c>
      <c r="P143" s="5" t="s">
        <v>177</v>
      </c>
      <c r="Q143" s="3" t="s">
        <v>51</v>
      </c>
      <c r="R143" s="6">
        <v>45821</v>
      </c>
      <c r="S143" s="5" t="s">
        <v>979</v>
      </c>
      <c r="T143" s="5" t="s">
        <v>980</v>
      </c>
      <c r="U143" s="5" t="s">
        <v>980</v>
      </c>
      <c r="V143" s="5"/>
      <c r="W143" s="5"/>
      <c r="X143" s="5" t="s">
        <v>458</v>
      </c>
      <c r="Y143" s="5" t="s">
        <v>72</v>
      </c>
      <c r="Z143" s="3" t="s">
        <v>981</v>
      </c>
      <c r="AA143" s="3" t="s">
        <v>85</v>
      </c>
      <c r="AB143" s="5" t="s">
        <v>498</v>
      </c>
      <c r="AC143" s="3">
        <v>31220517</v>
      </c>
      <c r="AD143" s="5"/>
      <c r="AE143" s="5"/>
      <c r="AF143" s="5"/>
      <c r="AG143" s="5" t="s">
        <v>246</v>
      </c>
      <c r="AH143" s="5" t="s">
        <v>37</v>
      </c>
      <c r="AI143" s="5"/>
      <c r="AJ143" s="5" t="s">
        <v>39</v>
      </c>
      <c r="AK143" s="5" t="s">
        <v>40</v>
      </c>
      <c r="AL143" s="5"/>
      <c r="AM143" s="5"/>
      <c r="AN143" s="5"/>
    </row>
    <row r="144" spans="1:40" ht="75" x14ac:dyDescent="0.25">
      <c r="A144" s="3">
        <v>140</v>
      </c>
      <c r="B144" s="3" t="s">
        <v>42</v>
      </c>
      <c r="C144" s="4" t="s">
        <v>1277</v>
      </c>
      <c r="D144" s="3" t="s">
        <v>1278</v>
      </c>
      <c r="E144" s="5" t="s">
        <v>193</v>
      </c>
      <c r="F144" s="6">
        <v>28745</v>
      </c>
      <c r="G144" s="6">
        <v>36178</v>
      </c>
      <c r="H144" s="3" t="s">
        <v>156</v>
      </c>
      <c r="I144" s="3" t="s">
        <v>45</v>
      </c>
      <c r="J144" s="3" t="s">
        <v>709</v>
      </c>
      <c r="K144" s="3" t="s">
        <v>709</v>
      </c>
      <c r="L144" s="5"/>
      <c r="M144" s="6">
        <v>36172</v>
      </c>
      <c r="N144" s="5" t="s">
        <v>65</v>
      </c>
      <c r="O144" s="3" t="s">
        <v>49</v>
      </c>
      <c r="P144" s="5" t="s">
        <v>81</v>
      </c>
      <c r="Q144" s="3" t="s">
        <v>51</v>
      </c>
      <c r="R144" s="6">
        <v>45800</v>
      </c>
      <c r="S144" s="5" t="s">
        <v>982</v>
      </c>
      <c r="T144" s="5" t="s">
        <v>983</v>
      </c>
      <c r="U144" s="5" t="s">
        <v>983</v>
      </c>
      <c r="V144" s="5">
        <v>39996</v>
      </c>
      <c r="W144" s="5">
        <v>40385</v>
      </c>
      <c r="X144" s="5" t="s">
        <v>45</v>
      </c>
      <c r="Y144" s="5" t="s">
        <v>55</v>
      </c>
      <c r="Z144" s="3" t="s">
        <v>984</v>
      </c>
      <c r="AA144" s="3" t="s">
        <v>85</v>
      </c>
      <c r="AB144" s="5" t="s">
        <v>985</v>
      </c>
      <c r="AC144" s="3">
        <v>30476206</v>
      </c>
      <c r="AD144" s="5"/>
      <c r="AE144" s="5"/>
      <c r="AF144" s="5" t="s">
        <v>986</v>
      </c>
      <c r="AG144" s="5"/>
      <c r="AH144" s="5"/>
      <c r="AI144" s="5"/>
      <c r="AJ144" s="5"/>
      <c r="AK144" s="5"/>
      <c r="AL144" s="5">
        <v>45054</v>
      </c>
      <c r="AM144" s="5"/>
      <c r="AN144" s="5"/>
    </row>
    <row r="145" spans="1:40" ht="75" x14ac:dyDescent="0.25">
      <c r="A145" s="3">
        <v>141</v>
      </c>
      <c r="B145" s="3" t="s">
        <v>42</v>
      </c>
      <c r="C145" s="4" t="s">
        <v>1279</v>
      </c>
      <c r="D145" s="3" t="s">
        <v>1280</v>
      </c>
      <c r="E145" s="5" t="s">
        <v>987</v>
      </c>
      <c r="F145" s="6">
        <v>29113</v>
      </c>
      <c r="G145" s="6">
        <v>36267</v>
      </c>
      <c r="H145" s="3" t="s">
        <v>77</v>
      </c>
      <c r="I145" s="3" t="s">
        <v>45</v>
      </c>
      <c r="J145" s="3" t="s">
        <v>119</v>
      </c>
      <c r="K145" s="3" t="s">
        <v>120</v>
      </c>
      <c r="L145" s="5" t="s">
        <v>90</v>
      </c>
      <c r="M145" s="6">
        <v>45110</v>
      </c>
      <c r="N145" s="5" t="s">
        <v>81</v>
      </c>
      <c r="O145" s="3" t="s">
        <v>49</v>
      </c>
      <c r="P145" s="5" t="s">
        <v>389</v>
      </c>
      <c r="Q145" s="3" t="s">
        <v>51</v>
      </c>
      <c r="R145" s="6">
        <v>45582</v>
      </c>
      <c r="S145" s="5" t="s">
        <v>988</v>
      </c>
      <c r="T145" s="5" t="s">
        <v>989</v>
      </c>
      <c r="U145" s="5" t="s">
        <v>989</v>
      </c>
      <c r="V145" s="5"/>
      <c r="W145" s="5"/>
      <c r="X145" s="5" t="s">
        <v>45</v>
      </c>
      <c r="Y145" s="5" t="s">
        <v>72</v>
      </c>
      <c r="Z145" s="3" t="s">
        <v>990</v>
      </c>
      <c r="AA145" s="3" t="s">
        <v>57</v>
      </c>
      <c r="AB145" s="5" t="s">
        <v>263</v>
      </c>
      <c r="AC145" s="3">
        <v>30951123</v>
      </c>
      <c r="AD145" s="5"/>
      <c r="AE145" s="5"/>
      <c r="AF145" s="5" t="s">
        <v>991</v>
      </c>
      <c r="AG145" s="5" t="s">
        <v>246</v>
      </c>
      <c r="AH145" s="5" t="s">
        <v>37</v>
      </c>
      <c r="AI145" s="5" t="s">
        <v>38</v>
      </c>
      <c r="AJ145" s="5"/>
      <c r="AK145" s="5"/>
      <c r="AL145" s="5"/>
      <c r="AM145" s="5"/>
      <c r="AN145" s="5"/>
    </row>
    <row r="146" spans="1:40" ht="75" x14ac:dyDescent="0.25">
      <c r="A146" s="3">
        <v>142</v>
      </c>
      <c r="B146" s="3" t="s">
        <v>42</v>
      </c>
      <c r="C146" s="4" t="s">
        <v>1281</v>
      </c>
      <c r="D146" s="3" t="s">
        <v>1282</v>
      </c>
      <c r="E146" s="5" t="s">
        <v>166</v>
      </c>
      <c r="F146" s="6">
        <v>30199</v>
      </c>
      <c r="G146" s="6">
        <v>37512</v>
      </c>
      <c r="H146" s="3" t="s">
        <v>129</v>
      </c>
      <c r="I146" s="3" t="s">
        <v>45</v>
      </c>
      <c r="J146" s="3" t="s">
        <v>108</v>
      </c>
      <c r="K146" s="3" t="s">
        <v>332</v>
      </c>
      <c r="L146" s="5" t="s">
        <v>130</v>
      </c>
      <c r="M146" s="6">
        <v>45012</v>
      </c>
      <c r="N146" s="5" t="s">
        <v>55</v>
      </c>
      <c r="O146" s="3" t="s">
        <v>121</v>
      </c>
      <c r="P146" s="5" t="s">
        <v>122</v>
      </c>
      <c r="Q146" s="3" t="s">
        <v>122</v>
      </c>
      <c r="R146" s="6">
        <v>39409</v>
      </c>
      <c r="S146" s="5" t="s">
        <v>992</v>
      </c>
      <c r="T146" s="5" t="s">
        <v>993</v>
      </c>
      <c r="U146" s="5" t="s">
        <v>993</v>
      </c>
      <c r="V146" s="5" t="s">
        <v>121</v>
      </c>
      <c r="W146" s="5" t="s">
        <v>121</v>
      </c>
      <c r="X146" s="5"/>
      <c r="Y146" s="5" t="s">
        <v>55</v>
      </c>
      <c r="Z146" s="3" t="s">
        <v>994</v>
      </c>
      <c r="AA146" s="3" t="s">
        <v>57</v>
      </c>
      <c r="AB146" s="5" t="s">
        <v>620</v>
      </c>
      <c r="AC146" s="3">
        <v>30952693</v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ht="45" x14ac:dyDescent="0.25">
      <c r="A147" s="3">
        <v>143</v>
      </c>
      <c r="B147" s="3" t="s">
        <v>42</v>
      </c>
      <c r="C147" s="4" t="s">
        <v>995</v>
      </c>
      <c r="D147" s="3" t="s">
        <v>1350</v>
      </c>
      <c r="E147" s="5" t="s">
        <v>996</v>
      </c>
      <c r="F147" s="6">
        <v>28943</v>
      </c>
      <c r="G147" s="6">
        <v>37512</v>
      </c>
      <c r="H147" s="3" t="s">
        <v>61</v>
      </c>
      <c r="I147" s="3" t="s">
        <v>45</v>
      </c>
      <c r="J147" s="3" t="s">
        <v>108</v>
      </c>
      <c r="K147" s="3" t="s">
        <v>332</v>
      </c>
      <c r="L147" s="5" t="s">
        <v>196</v>
      </c>
      <c r="M147" s="6">
        <v>39535</v>
      </c>
      <c r="N147" s="5" t="s">
        <v>48</v>
      </c>
      <c r="O147" s="3" t="s">
        <v>997</v>
      </c>
      <c r="P147" s="5" t="s">
        <v>998</v>
      </c>
      <c r="Q147" s="3" t="s">
        <v>999</v>
      </c>
      <c r="R147" s="6">
        <v>45547</v>
      </c>
      <c r="S147" s="5" t="s">
        <v>1000</v>
      </c>
      <c r="T147" s="5" t="s">
        <v>1001</v>
      </c>
      <c r="U147" s="5" t="s">
        <v>1001</v>
      </c>
      <c r="V147" s="5" t="s">
        <v>71</v>
      </c>
      <c r="W147" s="5" t="s">
        <v>71</v>
      </c>
      <c r="X147" s="5"/>
      <c r="Y147" s="5" t="s">
        <v>55</v>
      </c>
      <c r="Z147" s="3" t="s">
        <v>1002</v>
      </c>
      <c r="AA147" s="3" t="s">
        <v>57</v>
      </c>
      <c r="AB147" s="5" t="s">
        <v>620</v>
      </c>
      <c r="AC147" s="3">
        <v>30950407</v>
      </c>
      <c r="AD147" s="5" t="s">
        <v>274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ht="75" x14ac:dyDescent="0.25">
      <c r="A148" s="3">
        <v>144</v>
      </c>
      <c r="B148" s="3" t="s">
        <v>42</v>
      </c>
      <c r="C148" s="4" t="s">
        <v>1283</v>
      </c>
      <c r="D148" s="3" t="s">
        <v>1284</v>
      </c>
      <c r="E148" s="5" t="s">
        <v>1003</v>
      </c>
      <c r="F148" s="6">
        <v>26488</v>
      </c>
      <c r="G148" s="6">
        <v>35607</v>
      </c>
      <c r="H148" s="3" t="s">
        <v>44</v>
      </c>
      <c r="I148" s="3" t="s">
        <v>45</v>
      </c>
      <c r="J148" s="3" t="s">
        <v>108</v>
      </c>
      <c r="K148" s="3" t="s">
        <v>167</v>
      </c>
      <c r="L148" s="5" t="s">
        <v>753</v>
      </c>
      <c r="M148" s="6">
        <v>45194</v>
      </c>
      <c r="N148" s="5" t="s">
        <v>806</v>
      </c>
      <c r="O148" s="3" t="s">
        <v>48</v>
      </c>
      <c r="P148" s="5" t="s">
        <v>434</v>
      </c>
      <c r="Q148" s="3" t="s">
        <v>659</v>
      </c>
      <c r="R148" s="6">
        <v>45871</v>
      </c>
      <c r="S148" s="5" t="s">
        <v>1004</v>
      </c>
      <c r="T148" s="5" t="s">
        <v>1005</v>
      </c>
      <c r="U148" s="5" t="s">
        <v>1005</v>
      </c>
      <c r="V148" s="5" t="s">
        <v>55</v>
      </c>
      <c r="W148" s="5" t="s">
        <v>55</v>
      </c>
      <c r="X148" s="5"/>
      <c r="Y148" s="5" t="s">
        <v>72</v>
      </c>
      <c r="Z148" s="3" t="s">
        <v>1006</v>
      </c>
      <c r="AA148" s="3" t="s">
        <v>115</v>
      </c>
      <c r="AB148" s="5" t="s">
        <v>498</v>
      </c>
      <c r="AC148" s="3">
        <v>30277432</v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ht="60" x14ac:dyDescent="0.25">
      <c r="A149" s="3">
        <v>145</v>
      </c>
      <c r="B149" s="3" t="s">
        <v>42</v>
      </c>
      <c r="C149" s="4" t="s">
        <v>1285</v>
      </c>
      <c r="D149" s="3" t="s">
        <v>1286</v>
      </c>
      <c r="E149" s="5" t="s">
        <v>1007</v>
      </c>
      <c r="F149" s="6">
        <v>29897</v>
      </c>
      <c r="G149" s="6">
        <v>37877</v>
      </c>
      <c r="H149" s="3" t="s">
        <v>129</v>
      </c>
      <c r="I149" s="3" t="s">
        <v>300</v>
      </c>
      <c r="J149" s="3" t="s">
        <v>300</v>
      </c>
      <c r="K149" s="3" t="s">
        <v>558</v>
      </c>
      <c r="L149" s="5" t="s">
        <v>90</v>
      </c>
      <c r="M149" s="6">
        <v>45589</v>
      </c>
      <c r="N149" s="5" t="s">
        <v>91</v>
      </c>
      <c r="O149" s="3" t="s">
        <v>49</v>
      </c>
      <c r="P149" s="5" t="s">
        <v>389</v>
      </c>
      <c r="Q149" s="3" t="s">
        <v>51</v>
      </c>
      <c r="R149" s="6">
        <v>45920</v>
      </c>
      <c r="S149" s="5" t="s">
        <v>1008</v>
      </c>
      <c r="T149" s="5" t="s">
        <v>1009</v>
      </c>
      <c r="U149" s="5" t="s">
        <v>1009</v>
      </c>
      <c r="V149" s="5"/>
      <c r="W149" s="5"/>
      <c r="X149" s="5" t="s">
        <v>300</v>
      </c>
      <c r="Y149" s="5" t="s">
        <v>72</v>
      </c>
      <c r="Z149" s="3" t="s">
        <v>1010</v>
      </c>
      <c r="AA149" s="3" t="s">
        <v>201</v>
      </c>
      <c r="AB149" s="5" t="s">
        <v>1011</v>
      </c>
      <c r="AC149" s="3">
        <v>31439440</v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ht="75" x14ac:dyDescent="0.25">
      <c r="A150" s="3">
        <v>146</v>
      </c>
      <c r="B150" s="3" t="s">
        <v>42</v>
      </c>
      <c r="C150" s="4" t="s">
        <v>1012</v>
      </c>
      <c r="D150" s="3" t="s">
        <v>1351</v>
      </c>
      <c r="E150" s="5" t="s">
        <v>1013</v>
      </c>
      <c r="F150" s="6">
        <v>31168</v>
      </c>
      <c r="G150" s="6">
        <v>38918</v>
      </c>
      <c r="H150" s="3" t="s">
        <v>44</v>
      </c>
      <c r="I150" s="3" t="s">
        <v>45</v>
      </c>
      <c r="J150" s="3" t="s">
        <v>108</v>
      </c>
      <c r="K150" s="3" t="s">
        <v>276</v>
      </c>
      <c r="L150" s="5" t="s">
        <v>110</v>
      </c>
      <c r="M150" s="6">
        <v>45184</v>
      </c>
      <c r="N150" s="5" t="s">
        <v>139</v>
      </c>
      <c r="O150" s="3" t="s">
        <v>49</v>
      </c>
      <c r="P150" s="5" t="s">
        <v>250</v>
      </c>
      <c r="Q150" s="3" t="s">
        <v>51</v>
      </c>
      <c r="R150" s="6">
        <v>45920</v>
      </c>
      <c r="S150" s="5" t="s">
        <v>1014</v>
      </c>
      <c r="T150" s="5" t="s">
        <v>1015</v>
      </c>
      <c r="U150" s="5" t="s">
        <v>1016</v>
      </c>
      <c r="V150" s="5" t="s">
        <v>261</v>
      </c>
      <c r="W150" s="5" t="s">
        <v>261</v>
      </c>
      <c r="X150" s="5" t="s">
        <v>54</v>
      </c>
      <c r="Y150" s="5"/>
      <c r="Z150" s="3" t="s">
        <v>1017</v>
      </c>
      <c r="AA150" s="3" t="s">
        <v>57</v>
      </c>
      <c r="AB150" s="5" t="s">
        <v>86</v>
      </c>
      <c r="AC150" s="3">
        <v>31010914</v>
      </c>
      <c r="AD150" s="5"/>
      <c r="AE150" s="5"/>
      <c r="AF150" s="5"/>
      <c r="AG150" s="5" t="s">
        <v>246</v>
      </c>
      <c r="AH150" s="5" t="s">
        <v>37</v>
      </c>
      <c r="AI150" s="5" t="s">
        <v>38</v>
      </c>
      <c r="AJ150" s="5" t="s">
        <v>39</v>
      </c>
      <c r="AK150" s="5"/>
      <c r="AL150" s="5"/>
      <c r="AM150" s="5"/>
      <c r="AN150" s="5"/>
    </row>
    <row r="151" spans="1:40" ht="45" x14ac:dyDescent="0.25">
      <c r="A151" s="3">
        <v>147</v>
      </c>
      <c r="B151" s="3" t="s">
        <v>42</v>
      </c>
      <c r="C151" s="4" t="s">
        <v>1018</v>
      </c>
      <c r="D151" s="3" t="s">
        <v>1352</v>
      </c>
      <c r="E151" s="5" t="s">
        <v>1019</v>
      </c>
      <c r="F151" s="6">
        <v>30678</v>
      </c>
      <c r="G151" s="6">
        <v>37879</v>
      </c>
      <c r="H151" s="3" t="s">
        <v>77</v>
      </c>
      <c r="I151" s="3" t="s">
        <v>300</v>
      </c>
      <c r="J151" s="3" t="s">
        <v>300</v>
      </c>
      <c r="K151" s="3" t="s">
        <v>311</v>
      </c>
      <c r="L151" s="5" t="s">
        <v>1020</v>
      </c>
      <c r="M151" s="6">
        <v>45036</v>
      </c>
      <c r="N151" s="5" t="s">
        <v>48</v>
      </c>
      <c r="O151" s="3" t="s">
        <v>121</v>
      </c>
      <c r="P151" s="5" t="s">
        <v>122</v>
      </c>
      <c r="Q151" s="3" t="s">
        <v>122</v>
      </c>
      <c r="R151" s="6">
        <v>45036</v>
      </c>
      <c r="S151" s="5" t="s">
        <v>1021</v>
      </c>
      <c r="T151" s="5" t="s">
        <v>1287</v>
      </c>
      <c r="U151" s="5" t="s">
        <v>1287</v>
      </c>
      <c r="V151" s="5"/>
      <c r="W151" s="5"/>
      <c r="X151" s="5" t="s">
        <v>300</v>
      </c>
      <c r="Y151" s="5" t="s">
        <v>172</v>
      </c>
      <c r="Z151" s="3" t="s">
        <v>1022</v>
      </c>
      <c r="AA151" s="3" t="s">
        <v>1023</v>
      </c>
      <c r="AB151" s="5" t="s">
        <v>143</v>
      </c>
      <c r="AC151" s="3">
        <v>30911397</v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ht="60" x14ac:dyDescent="0.25">
      <c r="A152" s="3">
        <v>148</v>
      </c>
      <c r="B152" s="3" t="s">
        <v>42</v>
      </c>
      <c r="C152" s="4" t="s">
        <v>1024</v>
      </c>
      <c r="D152" s="3" t="s">
        <v>1353</v>
      </c>
      <c r="E152" s="5" t="s">
        <v>1025</v>
      </c>
      <c r="F152" s="6">
        <v>28431</v>
      </c>
      <c r="G152" s="6">
        <v>36264</v>
      </c>
      <c r="H152" s="3" t="s">
        <v>129</v>
      </c>
      <c r="I152" s="3" t="s">
        <v>300</v>
      </c>
      <c r="J152" s="3" t="s">
        <v>300</v>
      </c>
      <c r="K152" s="3" t="s">
        <v>404</v>
      </c>
      <c r="L152" s="5" t="s">
        <v>90</v>
      </c>
      <c r="M152" s="6">
        <v>45052</v>
      </c>
      <c r="N152" s="5" t="s">
        <v>169</v>
      </c>
      <c r="O152" s="3" t="s">
        <v>49</v>
      </c>
      <c r="P152" s="5" t="s">
        <v>177</v>
      </c>
      <c r="Q152" s="3" t="s">
        <v>51</v>
      </c>
      <c r="R152" s="6">
        <v>45818</v>
      </c>
      <c r="S152" s="5" t="s">
        <v>1026</v>
      </c>
      <c r="T152" s="5" t="s">
        <v>1027</v>
      </c>
      <c r="U152" s="5" t="s">
        <v>1027</v>
      </c>
      <c r="V152" s="5"/>
      <c r="W152" s="5"/>
      <c r="X152" s="5" t="s">
        <v>300</v>
      </c>
      <c r="Y152" s="5" t="s">
        <v>172</v>
      </c>
      <c r="Z152" s="3" t="s">
        <v>1028</v>
      </c>
      <c r="AA152" s="3" t="s">
        <v>85</v>
      </c>
      <c r="AB152" s="5" t="s">
        <v>1029</v>
      </c>
      <c r="AC152" s="3">
        <v>31009867</v>
      </c>
      <c r="AD152" s="5"/>
      <c r="AE152" s="5"/>
      <c r="AF152" s="5"/>
      <c r="AG152" s="5"/>
      <c r="AH152" s="5" t="s">
        <v>37</v>
      </c>
      <c r="AI152" s="5" t="s">
        <v>38</v>
      </c>
      <c r="AJ152" s="5" t="s">
        <v>39</v>
      </c>
      <c r="AK152" s="5"/>
      <c r="AL152" s="5"/>
      <c r="AM152" s="5"/>
      <c r="AN152" s="5"/>
    </row>
    <row r="153" spans="1:40" ht="75" x14ac:dyDescent="0.25">
      <c r="A153" s="3">
        <v>149</v>
      </c>
      <c r="B153" s="3" t="s">
        <v>42</v>
      </c>
      <c r="C153" s="4" t="s">
        <v>1288</v>
      </c>
      <c r="D153" s="3" t="s">
        <v>1289</v>
      </c>
      <c r="E153" s="5" t="s">
        <v>657</v>
      </c>
      <c r="F153" s="6">
        <v>30512</v>
      </c>
      <c r="G153" s="6">
        <v>38954</v>
      </c>
      <c r="H153" s="3" t="s">
        <v>156</v>
      </c>
      <c r="I153" s="3" t="s">
        <v>300</v>
      </c>
      <c r="J153" s="3" t="s">
        <v>300</v>
      </c>
      <c r="K153" s="3" t="s">
        <v>1030</v>
      </c>
      <c r="L153" s="5" t="s">
        <v>213</v>
      </c>
      <c r="M153" s="6">
        <v>45607</v>
      </c>
      <c r="N153" s="5" t="s">
        <v>91</v>
      </c>
      <c r="O153" s="3" t="s">
        <v>158</v>
      </c>
      <c r="P153" s="5" t="s">
        <v>159</v>
      </c>
      <c r="Q153" s="3" t="s">
        <v>160</v>
      </c>
      <c r="R153" s="6">
        <v>45804</v>
      </c>
      <c r="S153" s="5" t="s">
        <v>1031</v>
      </c>
      <c r="T153" s="5" t="s">
        <v>1032</v>
      </c>
      <c r="U153" s="5" t="s">
        <v>1032</v>
      </c>
      <c r="V153" s="5"/>
      <c r="W153" s="5"/>
      <c r="X153" s="5"/>
      <c r="Y153" s="5" t="s">
        <v>72</v>
      </c>
      <c r="Z153" s="3" t="s">
        <v>1033</v>
      </c>
      <c r="AA153" s="3" t="s">
        <v>85</v>
      </c>
      <c r="AB153" s="5" t="s">
        <v>1034</v>
      </c>
      <c r="AC153" s="3">
        <v>31012534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ht="75" x14ac:dyDescent="0.25">
      <c r="A154" s="3">
        <v>150</v>
      </c>
      <c r="B154" s="3" t="s">
        <v>42</v>
      </c>
      <c r="C154" s="4" t="s">
        <v>1035</v>
      </c>
      <c r="D154" s="3" t="s">
        <v>1354</v>
      </c>
      <c r="E154" s="5" t="s">
        <v>359</v>
      </c>
      <c r="F154" s="6">
        <v>30634</v>
      </c>
      <c r="G154" s="6">
        <v>38320</v>
      </c>
      <c r="H154" s="3" t="s">
        <v>77</v>
      </c>
      <c r="I154" s="3" t="s">
        <v>45</v>
      </c>
      <c r="J154" s="3" t="s">
        <v>108</v>
      </c>
      <c r="K154" s="3" t="s">
        <v>231</v>
      </c>
      <c r="L154" s="5" t="s">
        <v>1036</v>
      </c>
      <c r="M154" s="6">
        <v>45159</v>
      </c>
      <c r="N154" s="5" t="s">
        <v>169</v>
      </c>
      <c r="O154" s="3" t="s">
        <v>49</v>
      </c>
      <c r="P154" s="5" t="s">
        <v>242</v>
      </c>
      <c r="Q154" s="3" t="s">
        <v>51</v>
      </c>
      <c r="R154" s="6">
        <v>45756</v>
      </c>
      <c r="S154" s="5" t="s">
        <v>1037</v>
      </c>
      <c r="T154" s="5" t="s">
        <v>1038</v>
      </c>
      <c r="U154" s="5" t="s">
        <v>1038</v>
      </c>
      <c r="V154" s="5"/>
      <c r="W154" s="5"/>
      <c r="X154" s="5" t="s">
        <v>45</v>
      </c>
      <c r="Y154" s="5" t="s">
        <v>72</v>
      </c>
      <c r="Z154" s="3" t="s">
        <v>1039</v>
      </c>
      <c r="AA154" s="3" t="s">
        <v>85</v>
      </c>
      <c r="AB154" s="5" t="s">
        <v>1040</v>
      </c>
      <c r="AC154" s="3">
        <v>31081203</v>
      </c>
      <c r="AD154" s="5"/>
      <c r="AE154" s="5"/>
      <c r="AF154" s="5" t="s">
        <v>1041</v>
      </c>
      <c r="AG154" s="5"/>
      <c r="AH154" s="5"/>
      <c r="AI154" s="5"/>
      <c r="AJ154" s="5"/>
      <c r="AK154" s="5"/>
      <c r="AL154" s="5"/>
      <c r="AM154" s="5"/>
      <c r="AN154" s="5"/>
    </row>
    <row r="155" spans="1:40" ht="60" x14ac:dyDescent="0.25">
      <c r="A155" s="3">
        <v>151</v>
      </c>
      <c r="B155" s="3" t="s">
        <v>42</v>
      </c>
      <c r="C155" s="4" t="s">
        <v>1042</v>
      </c>
      <c r="D155" s="3" t="s">
        <v>1355</v>
      </c>
      <c r="E155" s="5" t="s">
        <v>1043</v>
      </c>
      <c r="F155" s="6">
        <v>29331</v>
      </c>
      <c r="G155" s="6">
        <v>37512</v>
      </c>
      <c r="H155" s="3" t="s">
        <v>716</v>
      </c>
      <c r="I155" s="3" t="s">
        <v>45</v>
      </c>
      <c r="J155" s="3" t="s">
        <v>108</v>
      </c>
      <c r="K155" s="3" t="s">
        <v>332</v>
      </c>
      <c r="L155" s="5" t="s">
        <v>843</v>
      </c>
      <c r="M155" s="6">
        <v>45204</v>
      </c>
      <c r="N155" s="5" t="s">
        <v>250</v>
      </c>
      <c r="O155" s="3" t="s">
        <v>221</v>
      </c>
      <c r="P155" s="5" t="s">
        <v>1044</v>
      </c>
      <c r="Q155" s="3" t="s">
        <v>68</v>
      </c>
      <c r="R155" s="6">
        <v>45735</v>
      </c>
      <c r="S155" s="5" t="s">
        <v>1045</v>
      </c>
      <c r="T155" s="5" t="s">
        <v>1046</v>
      </c>
      <c r="U155" s="5" t="s">
        <v>1046</v>
      </c>
      <c r="V155" s="5" t="s">
        <v>55</v>
      </c>
      <c r="W155" s="5" t="s">
        <v>55</v>
      </c>
      <c r="X155" s="5"/>
      <c r="Y155" s="5" t="s">
        <v>172</v>
      </c>
      <c r="Z155" s="3" t="s">
        <v>1047</v>
      </c>
      <c r="AA155" s="3" t="s">
        <v>85</v>
      </c>
      <c r="AB155" s="5" t="s">
        <v>164</v>
      </c>
      <c r="AC155" s="3">
        <v>30952026</v>
      </c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ht="60" x14ac:dyDescent="0.25">
      <c r="A156" s="3">
        <v>152</v>
      </c>
      <c r="B156" s="3" t="s">
        <v>42</v>
      </c>
      <c r="C156" s="4" t="s">
        <v>1048</v>
      </c>
      <c r="D156" s="3" t="s">
        <v>1356</v>
      </c>
      <c r="E156" s="5" t="s">
        <v>1049</v>
      </c>
      <c r="F156" s="6">
        <v>29325</v>
      </c>
      <c r="G156" s="6">
        <v>36265</v>
      </c>
      <c r="H156" s="3" t="s">
        <v>77</v>
      </c>
      <c r="I156" s="3" t="s">
        <v>300</v>
      </c>
      <c r="J156" s="3" t="s">
        <v>300</v>
      </c>
      <c r="K156" s="3" t="s">
        <v>558</v>
      </c>
      <c r="L156" s="5" t="s">
        <v>90</v>
      </c>
      <c r="M156" s="6">
        <v>45359</v>
      </c>
      <c r="N156" s="5" t="s">
        <v>296</v>
      </c>
      <c r="O156" s="3" t="s">
        <v>49</v>
      </c>
      <c r="P156" s="5" t="s">
        <v>242</v>
      </c>
      <c r="Q156" s="3" t="s">
        <v>51</v>
      </c>
      <c r="R156" s="6">
        <v>45891</v>
      </c>
      <c r="S156" s="5" t="s">
        <v>1050</v>
      </c>
      <c r="T156" s="5" t="s">
        <v>1051</v>
      </c>
      <c r="U156" s="5" t="s">
        <v>1051</v>
      </c>
      <c r="V156" s="5"/>
      <c r="W156" s="5"/>
      <c r="X156" s="5" t="s">
        <v>300</v>
      </c>
      <c r="Y156" s="5" t="s">
        <v>72</v>
      </c>
      <c r="Z156" s="3" t="s">
        <v>1052</v>
      </c>
      <c r="AA156" s="3" t="s">
        <v>85</v>
      </c>
      <c r="AB156" s="5" t="s">
        <v>1053</v>
      </c>
      <c r="AC156" s="3">
        <v>31281667</v>
      </c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ht="45" x14ac:dyDescent="0.25">
      <c r="A157" s="3">
        <v>153</v>
      </c>
      <c r="B157" s="3" t="s">
        <v>42</v>
      </c>
      <c r="C157" s="4" t="s">
        <v>1054</v>
      </c>
      <c r="D157" s="3" t="s">
        <v>1357</v>
      </c>
      <c r="E157" s="5" t="s">
        <v>1055</v>
      </c>
      <c r="F157" s="6">
        <v>30091</v>
      </c>
      <c r="G157" s="6">
        <v>38310</v>
      </c>
      <c r="H157" s="3" t="s">
        <v>44</v>
      </c>
      <c r="I157" s="3" t="s">
        <v>300</v>
      </c>
      <c r="J157" s="3" t="s">
        <v>300</v>
      </c>
      <c r="K157" s="3" t="s">
        <v>1056</v>
      </c>
      <c r="L157" s="5" t="s">
        <v>90</v>
      </c>
      <c r="M157" s="6">
        <v>45803</v>
      </c>
      <c r="N157" s="5" t="s">
        <v>177</v>
      </c>
      <c r="O157" s="3" t="s">
        <v>49</v>
      </c>
      <c r="P157" s="5" t="s">
        <v>169</v>
      </c>
      <c r="Q157" s="3" t="s">
        <v>51</v>
      </c>
      <c r="R157" s="6">
        <v>45818</v>
      </c>
      <c r="S157" s="5" t="s">
        <v>1057</v>
      </c>
      <c r="T157" s="5" t="s">
        <v>1058</v>
      </c>
      <c r="U157" s="5" t="s">
        <v>1058</v>
      </c>
      <c r="V157" s="5"/>
      <c r="W157" s="5"/>
      <c r="X157" s="5" t="s">
        <v>300</v>
      </c>
      <c r="Y157" s="5" t="s">
        <v>72</v>
      </c>
      <c r="Z157" s="3" t="s">
        <v>1059</v>
      </c>
      <c r="AA157" s="3" t="s">
        <v>85</v>
      </c>
      <c r="AB157" s="5" t="s">
        <v>1060</v>
      </c>
      <c r="AC157" s="3">
        <v>31020913</v>
      </c>
      <c r="AD157" s="5"/>
      <c r="AE157" s="5"/>
      <c r="AF157" s="5">
        <v>69</v>
      </c>
      <c r="AG157" s="5"/>
      <c r="AH157" s="5"/>
      <c r="AI157" s="5"/>
      <c r="AJ157" s="5"/>
      <c r="AK157" s="5"/>
      <c r="AL157" s="5"/>
      <c r="AM157" s="5"/>
      <c r="AN157" s="5"/>
    </row>
    <row r="158" spans="1:40" ht="45" x14ac:dyDescent="0.25">
      <c r="A158" s="3">
        <v>154</v>
      </c>
      <c r="B158" s="3" t="s">
        <v>42</v>
      </c>
      <c r="C158" s="4" t="s">
        <v>1290</v>
      </c>
      <c r="D158" s="3" t="s">
        <v>1291</v>
      </c>
      <c r="E158" s="5" t="s">
        <v>977</v>
      </c>
      <c r="F158" s="6">
        <v>31109</v>
      </c>
      <c r="G158" s="6">
        <v>39998</v>
      </c>
      <c r="H158" s="3" t="s">
        <v>44</v>
      </c>
      <c r="I158" s="3" t="s">
        <v>45</v>
      </c>
      <c r="J158" s="3" t="s">
        <v>108</v>
      </c>
      <c r="K158" s="3" t="s">
        <v>332</v>
      </c>
      <c r="L158" s="5" t="s">
        <v>1329</v>
      </c>
      <c r="M158" s="6">
        <v>43934</v>
      </c>
      <c r="N158" s="5" t="s">
        <v>65</v>
      </c>
      <c r="O158" s="3" t="s">
        <v>158</v>
      </c>
      <c r="P158" s="5" t="s">
        <v>159</v>
      </c>
      <c r="Q158" s="3" t="s">
        <v>603</v>
      </c>
      <c r="R158" s="6">
        <v>45799</v>
      </c>
      <c r="S158" s="5" t="s">
        <v>1061</v>
      </c>
      <c r="T158" s="5" t="s">
        <v>1062</v>
      </c>
      <c r="U158" s="5" t="s">
        <v>1062</v>
      </c>
      <c r="V158" s="5" t="s">
        <v>55</v>
      </c>
      <c r="W158" s="5" t="s">
        <v>55</v>
      </c>
      <c r="X158" s="5" t="s">
        <v>54</v>
      </c>
      <c r="Y158" s="5" t="s">
        <v>1318</v>
      </c>
      <c r="Z158" s="3" t="s">
        <v>1063</v>
      </c>
      <c r="AA158" s="3" t="s">
        <v>85</v>
      </c>
      <c r="AB158" s="5" t="s">
        <v>97</v>
      </c>
      <c r="AC158" s="3">
        <v>31187898</v>
      </c>
      <c r="AD158" s="5" t="s">
        <v>274</v>
      </c>
      <c r="AE158" s="5"/>
      <c r="AF158" s="5">
        <v>222</v>
      </c>
      <c r="AG158" s="5" t="s">
        <v>36</v>
      </c>
      <c r="AH158" s="5"/>
      <c r="AI158" s="5" t="s">
        <v>38</v>
      </c>
      <c r="AJ158" s="5"/>
      <c r="AK158" s="5"/>
      <c r="AL158" s="5"/>
      <c r="AM158" s="5" t="s">
        <v>55</v>
      </c>
      <c r="AN158" s="5"/>
    </row>
    <row r="159" spans="1:40" ht="45" x14ac:dyDescent="0.25">
      <c r="A159" s="3">
        <v>155</v>
      </c>
      <c r="B159" s="3" t="s">
        <v>42</v>
      </c>
      <c r="C159" s="4" t="s">
        <v>1292</v>
      </c>
      <c r="D159" s="3" t="s">
        <v>1293</v>
      </c>
      <c r="E159" s="5" t="s">
        <v>1064</v>
      </c>
      <c r="F159" s="6">
        <v>33902</v>
      </c>
      <c r="G159" s="6">
        <v>45010</v>
      </c>
      <c r="H159" s="3" t="s">
        <v>1065</v>
      </c>
      <c r="I159" s="3" t="s">
        <v>45</v>
      </c>
      <c r="J159" s="3" t="s">
        <v>45</v>
      </c>
      <c r="K159" s="3" t="s">
        <v>267</v>
      </c>
      <c r="L159" s="5" t="s">
        <v>1329</v>
      </c>
      <c r="M159" s="6">
        <v>45010</v>
      </c>
      <c r="N159" s="5" t="s">
        <v>178</v>
      </c>
      <c r="O159" s="3" t="s">
        <v>48</v>
      </c>
      <c r="P159" s="5" t="s">
        <v>48</v>
      </c>
      <c r="Q159" s="3" t="s">
        <v>251</v>
      </c>
      <c r="R159" s="6">
        <v>45836</v>
      </c>
      <c r="S159" s="5" t="s">
        <v>1066</v>
      </c>
      <c r="T159" s="5" t="s">
        <v>1067</v>
      </c>
      <c r="U159" s="5" t="s">
        <v>1067</v>
      </c>
      <c r="V159" s="5" t="s">
        <v>71</v>
      </c>
      <c r="W159" s="5" t="s">
        <v>71</v>
      </c>
      <c r="X159" s="5" t="s">
        <v>45</v>
      </c>
      <c r="Y159" s="5"/>
      <c r="Z159" s="3" t="s">
        <v>1068</v>
      </c>
      <c r="AA159" s="3" t="s">
        <v>115</v>
      </c>
      <c r="AB159" s="5"/>
      <c r="AC159" s="3">
        <v>31692830</v>
      </c>
      <c r="AD159" s="5"/>
      <c r="AE159" s="5"/>
      <c r="AF159" s="5" t="s">
        <v>1069</v>
      </c>
      <c r="AG159" s="5"/>
      <c r="AH159" s="5"/>
      <c r="AI159" s="5"/>
      <c r="AJ159" s="5"/>
      <c r="AK159" s="5"/>
      <c r="AL159" s="5"/>
      <c r="AM159" s="5"/>
      <c r="AN159" s="5"/>
    </row>
    <row r="160" spans="1:40" ht="60" x14ac:dyDescent="0.25">
      <c r="A160" s="3">
        <v>156</v>
      </c>
      <c r="B160" s="3" t="s">
        <v>42</v>
      </c>
      <c r="C160" s="4" t="s">
        <v>1294</v>
      </c>
      <c r="D160" s="3" t="s">
        <v>1295</v>
      </c>
      <c r="E160" s="5" t="s">
        <v>1070</v>
      </c>
      <c r="F160" s="6">
        <v>27032</v>
      </c>
      <c r="G160" s="6">
        <v>36178</v>
      </c>
      <c r="H160" s="3" t="s">
        <v>129</v>
      </c>
      <c r="I160" s="3" t="s">
        <v>45</v>
      </c>
      <c r="J160" s="3" t="s">
        <v>45</v>
      </c>
      <c r="K160" s="3" t="s">
        <v>89</v>
      </c>
      <c r="L160" s="5" t="s">
        <v>90</v>
      </c>
      <c r="M160" s="6">
        <v>45159</v>
      </c>
      <c r="N160" s="5" t="s">
        <v>50</v>
      </c>
      <c r="O160" s="3" t="s">
        <v>158</v>
      </c>
      <c r="P160" s="5" t="s">
        <v>159</v>
      </c>
      <c r="Q160" s="7" t="s">
        <v>160</v>
      </c>
      <c r="R160" s="6">
        <v>45766</v>
      </c>
      <c r="S160" s="5" t="s">
        <v>1071</v>
      </c>
      <c r="T160" s="5" t="s">
        <v>1072</v>
      </c>
      <c r="U160" s="5" t="s">
        <v>1072</v>
      </c>
      <c r="V160" s="5">
        <v>42916</v>
      </c>
      <c r="W160" s="5" t="s">
        <v>261</v>
      </c>
      <c r="X160" s="5"/>
      <c r="Y160" s="5"/>
      <c r="Z160" s="3" t="s">
        <v>1073</v>
      </c>
      <c r="AA160" s="3" t="s">
        <v>115</v>
      </c>
      <c r="AB160" s="5" t="s">
        <v>498</v>
      </c>
      <c r="AC160" s="3">
        <v>31458585</v>
      </c>
      <c r="AD160" s="5" t="s">
        <v>274</v>
      </c>
      <c r="AE160" s="5"/>
      <c r="AF160" s="5"/>
      <c r="AG160" s="5" t="s">
        <v>1074</v>
      </c>
      <c r="AH160" s="45">
        <v>45766</v>
      </c>
      <c r="AI160" s="5" t="s">
        <v>38</v>
      </c>
      <c r="AJ160" s="5"/>
      <c r="AK160" s="5"/>
      <c r="AL160" s="5"/>
      <c r="AM160" s="5"/>
      <c r="AN160" s="5"/>
    </row>
    <row r="161" spans="1:40" ht="60" x14ac:dyDescent="0.25">
      <c r="A161" s="3">
        <v>157</v>
      </c>
      <c r="B161" s="3" t="s">
        <v>42</v>
      </c>
      <c r="C161" s="4" t="s">
        <v>1296</v>
      </c>
      <c r="D161" s="3" t="s">
        <v>1297</v>
      </c>
      <c r="E161" s="5" t="s">
        <v>764</v>
      </c>
      <c r="F161" s="6">
        <v>27865</v>
      </c>
      <c r="G161" s="6">
        <v>36267</v>
      </c>
      <c r="H161" s="3" t="s">
        <v>44</v>
      </c>
      <c r="I161" s="3" t="s">
        <v>45</v>
      </c>
      <c r="J161" s="3" t="s">
        <v>108</v>
      </c>
      <c r="K161" s="3" t="s">
        <v>167</v>
      </c>
      <c r="L161" s="5" t="s">
        <v>90</v>
      </c>
      <c r="M161" s="6">
        <v>45480</v>
      </c>
      <c r="N161" s="5" t="s">
        <v>377</v>
      </c>
      <c r="O161" s="3" t="s">
        <v>158</v>
      </c>
      <c r="P161" s="5" t="s">
        <v>159</v>
      </c>
      <c r="Q161" s="7" t="s">
        <v>160</v>
      </c>
      <c r="R161" s="6">
        <v>45766</v>
      </c>
      <c r="S161" s="5" t="s">
        <v>1075</v>
      </c>
      <c r="T161" s="5" t="s">
        <v>1076</v>
      </c>
      <c r="U161" s="5" t="s">
        <v>1077</v>
      </c>
      <c r="V161" s="5">
        <v>43943</v>
      </c>
      <c r="W161" s="5" t="s">
        <v>71</v>
      </c>
      <c r="X161" s="5"/>
      <c r="Y161" s="5" t="s">
        <v>55</v>
      </c>
      <c r="Z161" s="3" t="s">
        <v>1078</v>
      </c>
      <c r="AA161" s="3" t="s">
        <v>115</v>
      </c>
      <c r="AB161" s="5" t="s">
        <v>795</v>
      </c>
      <c r="AC161" s="3">
        <v>30475570</v>
      </c>
      <c r="AD161" s="5" t="s">
        <v>274</v>
      </c>
      <c r="AE161" s="5"/>
      <c r="AF161" s="5"/>
      <c r="AG161" s="5" t="s">
        <v>1074</v>
      </c>
      <c r="AH161" s="45">
        <v>45766</v>
      </c>
      <c r="AI161" s="5"/>
      <c r="AJ161" s="5"/>
      <c r="AK161" s="5"/>
      <c r="AL161" s="5"/>
      <c r="AM161" s="5"/>
      <c r="AN161" s="5"/>
    </row>
    <row r="162" spans="1:40" ht="90" x14ac:dyDescent="0.25">
      <c r="A162" s="3">
        <v>158</v>
      </c>
      <c r="B162" s="3" t="s">
        <v>42</v>
      </c>
      <c r="C162" s="4" t="s">
        <v>1298</v>
      </c>
      <c r="D162" s="3" t="s">
        <v>1299</v>
      </c>
      <c r="E162" s="5" t="s">
        <v>1079</v>
      </c>
      <c r="F162" s="6">
        <v>25689</v>
      </c>
      <c r="G162" s="6">
        <v>33210</v>
      </c>
      <c r="H162" s="3" t="s">
        <v>129</v>
      </c>
      <c r="I162" s="3" t="s">
        <v>45</v>
      </c>
      <c r="J162" s="3" t="s">
        <v>730</v>
      </c>
      <c r="K162" s="3" t="s">
        <v>258</v>
      </c>
      <c r="L162" s="5" t="s">
        <v>130</v>
      </c>
      <c r="M162" s="6">
        <v>43454</v>
      </c>
      <c r="N162" s="5" t="s">
        <v>178</v>
      </c>
      <c r="O162" s="3" t="s">
        <v>158</v>
      </c>
      <c r="P162" s="5" t="s">
        <v>159</v>
      </c>
      <c r="Q162" s="7" t="s">
        <v>160</v>
      </c>
      <c r="R162" s="6">
        <v>45766</v>
      </c>
      <c r="S162" s="5" t="s">
        <v>1080</v>
      </c>
      <c r="T162" s="5" t="s">
        <v>1081</v>
      </c>
      <c r="U162" s="5" t="s">
        <v>1081</v>
      </c>
      <c r="V162" s="5">
        <v>39634</v>
      </c>
      <c r="W162" s="5">
        <v>42215</v>
      </c>
      <c r="X162" s="5" t="s">
        <v>1082</v>
      </c>
      <c r="Y162" s="5" t="s">
        <v>55</v>
      </c>
      <c r="Z162" s="3" t="s">
        <v>1083</v>
      </c>
      <c r="AA162" s="3" t="s">
        <v>85</v>
      </c>
      <c r="AB162" s="5" t="s">
        <v>127</v>
      </c>
      <c r="AC162" s="3">
        <v>30279392</v>
      </c>
      <c r="AD162" s="5"/>
      <c r="AE162" s="5"/>
      <c r="AF162" s="5"/>
      <c r="AG162" s="5" t="s">
        <v>1074</v>
      </c>
      <c r="AH162" s="45">
        <v>45766</v>
      </c>
      <c r="AI162" s="5"/>
      <c r="AJ162" s="5"/>
      <c r="AK162" s="5"/>
      <c r="AL162" s="5"/>
      <c r="AM162" s="5" t="s">
        <v>136</v>
      </c>
      <c r="AN162" s="5"/>
    </row>
    <row r="163" spans="1:40" ht="75" x14ac:dyDescent="0.25">
      <c r="A163" s="3">
        <v>159</v>
      </c>
      <c r="B163" s="3" t="s">
        <v>42</v>
      </c>
      <c r="C163" s="4" t="s">
        <v>1084</v>
      </c>
      <c r="D163" s="3" t="s">
        <v>1358</v>
      </c>
      <c r="E163" s="5" t="s">
        <v>1085</v>
      </c>
      <c r="F163" s="6">
        <v>28503</v>
      </c>
      <c r="G163" s="6">
        <v>36190</v>
      </c>
      <c r="H163" s="3" t="s">
        <v>44</v>
      </c>
      <c r="I163" s="3" t="s">
        <v>1086</v>
      </c>
      <c r="J163" s="3" t="s">
        <v>1086</v>
      </c>
      <c r="K163" s="3" t="s">
        <v>1087</v>
      </c>
      <c r="L163" s="5" t="s">
        <v>90</v>
      </c>
      <c r="M163" s="6">
        <v>45894</v>
      </c>
      <c r="N163" s="5" t="s">
        <v>48</v>
      </c>
      <c r="O163" s="3" t="s">
        <v>49</v>
      </c>
      <c r="P163" s="5" t="s">
        <v>178</v>
      </c>
      <c r="Q163" s="7" t="s">
        <v>51</v>
      </c>
      <c r="R163" s="6">
        <v>45920</v>
      </c>
      <c r="S163" s="5" t="s">
        <v>1088</v>
      </c>
      <c r="T163" s="5" t="s">
        <v>1089</v>
      </c>
      <c r="U163" s="5" t="s">
        <v>1089</v>
      </c>
      <c r="V163" s="5"/>
      <c r="W163" s="5"/>
      <c r="X163" s="5" t="s">
        <v>300</v>
      </c>
      <c r="Y163" s="5" t="s">
        <v>72</v>
      </c>
      <c r="Z163" s="3" t="s">
        <v>1090</v>
      </c>
      <c r="AA163" s="3" t="s">
        <v>57</v>
      </c>
      <c r="AB163" s="5" t="s">
        <v>1091</v>
      </c>
      <c r="AC163" s="3">
        <v>30508845</v>
      </c>
      <c r="AD163" s="5"/>
      <c r="AE163" s="5"/>
      <c r="AF163" s="5"/>
      <c r="AG163" s="5"/>
      <c r="AH163" s="45"/>
      <c r="AI163" s="5"/>
      <c r="AJ163" s="5"/>
      <c r="AK163" s="5"/>
      <c r="AL163" s="5"/>
      <c r="AM163" s="5"/>
      <c r="AN163" s="5"/>
    </row>
  </sheetData>
  <conditionalFormatting sqref="C3">
    <cfRule type="duplicateValues" dxfId="1340" priority="1041"/>
  </conditionalFormatting>
  <conditionalFormatting sqref="C4">
    <cfRule type="duplicateValues" dxfId="1339" priority="1036"/>
  </conditionalFormatting>
  <conditionalFormatting sqref="C48 C50:C53 C44 C55:C158 C5:C6 C14:C41 C10:C12 C46">
    <cfRule type="duplicateValues" dxfId="1338" priority="1318"/>
  </conditionalFormatting>
  <conditionalFormatting sqref="C17">
    <cfRule type="duplicateValues" dxfId="1337" priority="811" stopIfTrue="1"/>
    <cfRule type="duplicateValues" dxfId="1336" priority="812"/>
    <cfRule type="duplicateValues" dxfId="1335" priority="813"/>
  </conditionalFormatting>
  <conditionalFormatting sqref="C57">
    <cfRule type="duplicateValues" dxfId="1334" priority="1017"/>
  </conditionalFormatting>
  <conditionalFormatting sqref="C84">
    <cfRule type="duplicateValues" dxfId="1333" priority="912"/>
  </conditionalFormatting>
  <conditionalFormatting sqref="D4">
    <cfRule type="duplicateValues" dxfId="1332" priority="1035"/>
  </conditionalFormatting>
  <conditionalFormatting sqref="D5">
    <cfRule type="duplicateValues" dxfId="1331" priority="1181"/>
    <cfRule type="duplicateValues" dxfId="1330" priority="1182"/>
    <cfRule type="duplicateValues" dxfId="1329" priority="1183"/>
    <cfRule type="duplicateValues" dxfId="1328" priority="1184"/>
    <cfRule type="duplicateValues" dxfId="1327" priority="1185"/>
    <cfRule type="duplicateValues" dxfId="1326" priority="1186"/>
    <cfRule type="duplicateValues" dxfId="1325" priority="1187"/>
    <cfRule type="duplicateValues" dxfId="1324" priority="1188"/>
  </conditionalFormatting>
  <conditionalFormatting sqref="D131:D132 D5:D6 D14:D18 D10:D12">
    <cfRule type="duplicateValues" dxfId="1323" priority="1189" stopIfTrue="1"/>
  </conditionalFormatting>
  <conditionalFormatting sqref="D48 D50:D53 D44 D55:D158 D5:D6 D14:D41 D10:D12 D46">
    <cfRule type="duplicateValues" dxfId="1322" priority="1319"/>
    <cfRule type="duplicateValues" dxfId="1321" priority="1320" stopIfTrue="1"/>
  </conditionalFormatting>
  <conditionalFormatting sqref="D6">
    <cfRule type="duplicateValues" dxfId="1320" priority="1190"/>
    <cfRule type="duplicateValues" dxfId="1319" priority="1191"/>
    <cfRule type="duplicateValues" dxfId="1318" priority="1192"/>
    <cfRule type="duplicateValues" dxfId="1317" priority="1193"/>
    <cfRule type="duplicateValues" dxfId="1316" priority="1194"/>
    <cfRule type="duplicateValues" dxfId="1315" priority="1195"/>
    <cfRule type="duplicateValues" dxfId="1314" priority="1196"/>
    <cfRule type="duplicateValues" dxfId="1313" priority="1197"/>
  </conditionalFormatting>
  <conditionalFormatting sqref="D10">
    <cfRule type="duplicateValues" dxfId="1312" priority="1198"/>
    <cfRule type="duplicateValues" dxfId="1311" priority="1199"/>
    <cfRule type="duplicateValues" dxfId="1310" priority="1200"/>
    <cfRule type="duplicateValues" dxfId="1309" priority="1201"/>
    <cfRule type="duplicateValues" dxfId="1308" priority="1202"/>
    <cfRule type="duplicateValues" dxfId="1307" priority="1203"/>
    <cfRule type="duplicateValues" dxfId="1306" priority="1204"/>
    <cfRule type="duplicateValues" dxfId="1305" priority="1205"/>
  </conditionalFormatting>
  <conditionalFormatting sqref="D11">
    <cfRule type="duplicateValues" dxfId="1304" priority="1206"/>
    <cfRule type="duplicateValues" dxfId="1303" priority="1207"/>
    <cfRule type="duplicateValues" dxfId="1302" priority="1208"/>
    <cfRule type="duplicateValues" dxfId="1301" priority="1209"/>
    <cfRule type="duplicateValues" dxfId="1300" priority="1210"/>
    <cfRule type="duplicateValues" dxfId="1299" priority="1211"/>
    <cfRule type="duplicateValues" dxfId="1298" priority="1212"/>
    <cfRule type="duplicateValues" dxfId="1297" priority="1213"/>
  </conditionalFormatting>
  <conditionalFormatting sqref="D12">
    <cfRule type="duplicateValues" dxfId="1296" priority="1214"/>
    <cfRule type="duplicateValues" dxfId="1295" priority="1215"/>
    <cfRule type="duplicateValues" dxfId="1294" priority="1216"/>
    <cfRule type="duplicateValues" dxfId="1293" priority="1217"/>
    <cfRule type="duplicateValues" dxfId="1292" priority="1218"/>
    <cfRule type="duplicateValues" dxfId="1291" priority="1219"/>
    <cfRule type="duplicateValues" dxfId="1290" priority="1220"/>
    <cfRule type="duplicateValues" dxfId="1289" priority="1221"/>
  </conditionalFormatting>
  <conditionalFormatting sqref="D15">
    <cfRule type="duplicateValues" dxfId="1288" priority="1222"/>
    <cfRule type="duplicateValues" dxfId="1287" priority="1223"/>
    <cfRule type="duplicateValues" dxfId="1286" priority="1224"/>
    <cfRule type="duplicateValues" dxfId="1285" priority="1225"/>
    <cfRule type="duplicateValues" dxfId="1284" priority="1226"/>
    <cfRule type="duplicateValues" dxfId="1283" priority="1227"/>
    <cfRule type="duplicateValues" dxfId="1282" priority="1228"/>
    <cfRule type="duplicateValues" dxfId="1281" priority="1229"/>
  </conditionalFormatting>
  <conditionalFormatting sqref="D16:D17">
    <cfRule type="duplicateValues" dxfId="1280" priority="1230"/>
    <cfRule type="duplicateValues" dxfId="1279" priority="1231"/>
    <cfRule type="duplicateValues" dxfId="1278" priority="1232"/>
    <cfRule type="duplicateValues" dxfId="1277" priority="1233"/>
    <cfRule type="duplicateValues" dxfId="1276" priority="1234"/>
    <cfRule type="duplicateValues" dxfId="1275" priority="1235"/>
    <cfRule type="duplicateValues" dxfId="1274" priority="1236"/>
    <cfRule type="duplicateValues" dxfId="1273" priority="1237"/>
  </conditionalFormatting>
  <conditionalFormatting sqref="D17">
    <cfRule type="duplicateValues" dxfId="1272" priority="748"/>
    <cfRule type="duplicateValues" dxfId="1271" priority="749" stopIfTrue="1"/>
    <cfRule type="duplicateValues" dxfId="1270" priority="750" stopIfTrue="1"/>
    <cfRule type="duplicateValues" dxfId="1269" priority="751" stopIfTrue="1"/>
    <cfRule type="duplicateValues" dxfId="1268" priority="752" stopIfTrue="1"/>
    <cfRule type="duplicateValues" dxfId="1267" priority="753" stopIfTrue="1"/>
    <cfRule type="duplicateValues" dxfId="1266" priority="754"/>
    <cfRule type="duplicateValues" dxfId="1265" priority="755"/>
    <cfRule type="duplicateValues" dxfId="1264" priority="756" stopIfTrue="1"/>
    <cfRule type="duplicateValues" dxfId="1263" priority="757"/>
    <cfRule type="duplicateValues" dxfId="1262" priority="758"/>
    <cfRule type="duplicateValues" dxfId="1261" priority="759"/>
    <cfRule type="duplicateValues" dxfId="1260" priority="760"/>
    <cfRule type="duplicateValues" dxfId="1259" priority="761"/>
    <cfRule type="duplicateValues" dxfId="1258" priority="762"/>
    <cfRule type="duplicateValues" dxfId="1257" priority="763"/>
    <cfRule type="duplicateValues" dxfId="1256" priority="764"/>
    <cfRule type="duplicateValues" dxfId="1255" priority="765"/>
    <cfRule type="duplicateValues" dxfId="1254" priority="766"/>
    <cfRule type="duplicateValues" dxfId="1253" priority="767"/>
    <cfRule type="duplicateValues" dxfId="1252" priority="768"/>
    <cfRule type="duplicateValues" dxfId="1251" priority="769"/>
    <cfRule type="duplicateValues" dxfId="1250" priority="770"/>
    <cfRule type="duplicateValues" dxfId="1249" priority="771"/>
    <cfRule type="duplicateValues" dxfId="1248" priority="772"/>
    <cfRule type="duplicateValues" dxfId="1247" priority="773"/>
    <cfRule type="duplicateValues" dxfId="1246" priority="774"/>
    <cfRule type="duplicateValues" dxfId="1245" priority="775"/>
    <cfRule type="duplicateValues" dxfId="1244" priority="776"/>
    <cfRule type="duplicateValues" dxfId="1243" priority="777"/>
    <cfRule type="duplicateValues" dxfId="1242" priority="778"/>
    <cfRule type="duplicateValues" dxfId="1241" priority="779"/>
    <cfRule type="duplicateValues" dxfId="1240" priority="780"/>
    <cfRule type="duplicateValues" dxfId="1239" priority="781"/>
    <cfRule type="duplicateValues" dxfId="1238" priority="782"/>
    <cfRule type="duplicateValues" dxfId="1237" priority="783"/>
    <cfRule type="duplicateValues" dxfId="1236" priority="784"/>
    <cfRule type="duplicateValues" dxfId="1235" priority="785"/>
    <cfRule type="duplicateValues" dxfId="1234" priority="786" stopIfTrue="1"/>
    <cfRule type="duplicateValues" dxfId="1233" priority="787"/>
    <cfRule type="duplicateValues" dxfId="1232" priority="788" stopIfTrue="1"/>
    <cfRule type="duplicateValues" dxfId="1231" priority="789"/>
    <cfRule type="duplicateValues" dxfId="1230" priority="790"/>
    <cfRule type="duplicateValues" dxfId="1229" priority="791" stopIfTrue="1"/>
    <cfRule type="duplicateValues" dxfId="1228" priority="792"/>
    <cfRule type="duplicateValues" dxfId="1227" priority="793"/>
    <cfRule type="duplicateValues" dxfId="1226" priority="794"/>
    <cfRule type="duplicateValues" dxfId="1225" priority="795"/>
    <cfRule type="duplicateValues" dxfId="1224" priority="796"/>
    <cfRule type="duplicateValues" dxfId="1223" priority="797"/>
    <cfRule type="duplicateValues" dxfId="1222" priority="798"/>
    <cfRule type="duplicateValues" dxfId="1221" priority="799"/>
    <cfRule type="duplicateValues" dxfId="1220" priority="800"/>
    <cfRule type="duplicateValues" dxfId="1219" priority="801"/>
    <cfRule type="duplicateValues" dxfId="1218" priority="802"/>
    <cfRule type="duplicateValues" dxfId="1217" priority="803"/>
    <cfRule type="duplicateValues" dxfId="1216" priority="804"/>
    <cfRule type="duplicateValues" dxfId="1215" priority="805"/>
    <cfRule type="duplicateValues" dxfId="1214" priority="806"/>
    <cfRule type="duplicateValues" dxfId="1213" priority="807"/>
    <cfRule type="duplicateValues" dxfId="1212" priority="808"/>
    <cfRule type="duplicateValues" dxfId="1211" priority="809"/>
    <cfRule type="duplicateValues" dxfId="1210" priority="810" stopIfTrue="1"/>
  </conditionalFormatting>
  <conditionalFormatting sqref="D18">
    <cfRule type="duplicateValues" dxfId="1209" priority="1238"/>
    <cfRule type="duplicateValues" dxfId="1208" priority="1239"/>
    <cfRule type="duplicateValues" dxfId="1207" priority="1240"/>
    <cfRule type="duplicateValues" dxfId="1206" priority="1241"/>
    <cfRule type="duplicateValues" dxfId="1205" priority="1242"/>
    <cfRule type="duplicateValues" dxfId="1204" priority="1243"/>
    <cfRule type="duplicateValues" dxfId="1203" priority="1244"/>
    <cfRule type="duplicateValues" dxfId="1202" priority="1245"/>
  </conditionalFormatting>
  <conditionalFormatting sqref="D19">
    <cfRule type="duplicateValues" dxfId="1201" priority="1246" stopIfTrue="1"/>
  </conditionalFormatting>
  <conditionalFormatting sqref="D20:D22">
    <cfRule type="duplicateValues" dxfId="1200" priority="1247" stopIfTrue="1"/>
  </conditionalFormatting>
  <conditionalFormatting sqref="D23:D28">
    <cfRule type="duplicateValues" dxfId="1199" priority="1248" stopIfTrue="1"/>
  </conditionalFormatting>
  <conditionalFormatting sqref="D23:D32">
    <cfRule type="duplicateValues" dxfId="1198" priority="1249" stopIfTrue="1"/>
  </conditionalFormatting>
  <conditionalFormatting sqref="D24:D25">
    <cfRule type="duplicateValues" dxfId="1197" priority="1250" stopIfTrue="1"/>
  </conditionalFormatting>
  <conditionalFormatting sqref="D26:D28">
    <cfRule type="duplicateValues" dxfId="1196" priority="1251"/>
  </conditionalFormatting>
  <conditionalFormatting sqref="D27">
    <cfRule type="duplicateValues" dxfId="1195" priority="1252"/>
    <cfRule type="duplicateValues" dxfId="1194" priority="1253"/>
    <cfRule type="duplicateValues" dxfId="1193" priority="1254"/>
    <cfRule type="duplicateValues" dxfId="1192" priority="1255"/>
  </conditionalFormatting>
  <conditionalFormatting sqref="D28">
    <cfRule type="duplicateValues" dxfId="1191" priority="1256"/>
  </conditionalFormatting>
  <conditionalFormatting sqref="D29:D32">
    <cfRule type="duplicateValues" dxfId="1190" priority="1257"/>
  </conditionalFormatting>
  <conditionalFormatting sqref="D30">
    <cfRule type="duplicateValues" dxfId="1189" priority="1258"/>
  </conditionalFormatting>
  <conditionalFormatting sqref="D31:D32">
    <cfRule type="duplicateValues" dxfId="1188" priority="1259"/>
  </conditionalFormatting>
  <conditionalFormatting sqref="D32">
    <cfRule type="duplicateValues" dxfId="1187" priority="1260"/>
  </conditionalFormatting>
  <conditionalFormatting sqref="D32">
    <cfRule type="duplicateValues" dxfId="1186" priority="1261"/>
  </conditionalFormatting>
  <conditionalFormatting sqref="D33">
    <cfRule type="duplicateValues" dxfId="1185" priority="1263" stopIfTrue="1"/>
  </conditionalFormatting>
  <conditionalFormatting sqref="D48 D33:D41 D50:D52 D44 D46">
    <cfRule type="duplicateValues" dxfId="1184" priority="1262" stopIfTrue="1"/>
  </conditionalFormatting>
  <conditionalFormatting sqref="D34:D36">
    <cfRule type="duplicateValues" dxfId="1183" priority="1264" stopIfTrue="1"/>
  </conditionalFormatting>
  <conditionalFormatting sqref="D35:D36">
    <cfRule type="duplicateValues" dxfId="1182" priority="1265"/>
    <cfRule type="duplicateValues" dxfId="1181" priority="1266"/>
    <cfRule type="duplicateValues" dxfId="1180" priority="1267"/>
  </conditionalFormatting>
  <conditionalFormatting sqref="D36">
    <cfRule type="duplicateValues" dxfId="1179" priority="1268"/>
    <cfRule type="duplicateValues" dxfId="1178" priority="1269"/>
    <cfRule type="duplicateValues" dxfId="1177" priority="1270"/>
    <cfRule type="duplicateValues" dxfId="1176" priority="1271"/>
    <cfRule type="duplicateValues" dxfId="1175" priority="1272"/>
    <cfRule type="duplicateValues" dxfId="1174" priority="1273"/>
    <cfRule type="duplicateValues" dxfId="1173" priority="1274"/>
  </conditionalFormatting>
  <conditionalFormatting sqref="D38:D39">
    <cfRule type="duplicateValues" dxfId="1172" priority="1275" stopIfTrue="1"/>
  </conditionalFormatting>
  <conditionalFormatting sqref="D39">
    <cfRule type="duplicateValues" dxfId="1171" priority="928"/>
    <cfRule type="duplicateValues" dxfId="1170" priority="929"/>
    <cfRule type="duplicateValues" dxfId="1169" priority="930"/>
    <cfRule type="duplicateValues" dxfId="1168" priority="931"/>
    <cfRule type="duplicateValues" dxfId="1167" priority="932"/>
    <cfRule type="duplicateValues" dxfId="1166" priority="933"/>
    <cfRule type="duplicateValues" dxfId="1165" priority="934"/>
    <cfRule type="duplicateValues" dxfId="1164" priority="935"/>
    <cfRule type="duplicateValues" dxfId="1163" priority="936"/>
  </conditionalFormatting>
  <conditionalFormatting sqref="D48 D40:D41 D50:D52 D44 D46">
    <cfRule type="duplicateValues" dxfId="1162" priority="1276" stopIfTrue="1"/>
  </conditionalFormatting>
  <conditionalFormatting sqref="D41">
    <cfRule type="duplicateValues" dxfId="1161" priority="1277" stopIfTrue="1"/>
  </conditionalFormatting>
  <conditionalFormatting sqref="D46 D48 D50:D52">
    <cfRule type="duplicateValues" dxfId="1160" priority="1278" stopIfTrue="1"/>
  </conditionalFormatting>
  <conditionalFormatting sqref="D48 D50:D52">
    <cfRule type="duplicateValues" dxfId="1159" priority="1279" stopIfTrue="1"/>
    <cfRule type="duplicateValues" dxfId="1158" priority="1280" stopIfTrue="1"/>
  </conditionalFormatting>
  <conditionalFormatting sqref="D51:D52">
    <cfRule type="duplicateValues" dxfId="1157" priority="1281" stopIfTrue="1"/>
  </conditionalFormatting>
  <conditionalFormatting sqref="D52">
    <cfRule type="duplicateValues" dxfId="1156" priority="1282" stopIfTrue="1"/>
  </conditionalFormatting>
  <conditionalFormatting sqref="D53">
    <cfRule type="duplicateValues" dxfId="1155" priority="916"/>
    <cfRule type="duplicateValues" dxfId="1154" priority="917"/>
    <cfRule type="duplicateValues" dxfId="1153" priority="918"/>
    <cfRule type="duplicateValues" dxfId="1152" priority="919"/>
    <cfRule type="duplicateValues" dxfId="1151" priority="920"/>
    <cfRule type="duplicateValues" dxfId="1150" priority="921"/>
    <cfRule type="duplicateValues" dxfId="1149" priority="922"/>
    <cfRule type="duplicateValues" dxfId="1148" priority="923"/>
    <cfRule type="duplicateValues" dxfId="1147" priority="924"/>
  </conditionalFormatting>
  <conditionalFormatting sqref="D57">
    <cfRule type="duplicateValues" dxfId="1146" priority="984"/>
    <cfRule type="duplicateValues" dxfId="1145" priority="985"/>
    <cfRule type="duplicateValues" dxfId="1144" priority="986"/>
    <cfRule type="duplicateValues" dxfId="1143" priority="987"/>
    <cfRule type="duplicateValues" dxfId="1142" priority="988"/>
    <cfRule type="duplicateValues" dxfId="1141" priority="989"/>
    <cfRule type="duplicateValues" dxfId="1140" priority="990"/>
    <cfRule type="duplicateValues" dxfId="1139" priority="991"/>
    <cfRule type="duplicateValues" dxfId="1138" priority="992" stopIfTrue="1"/>
    <cfRule type="duplicateValues" dxfId="1137" priority="993"/>
    <cfRule type="duplicateValues" dxfId="1136" priority="994" stopIfTrue="1"/>
    <cfRule type="duplicateValues" dxfId="1135" priority="995"/>
    <cfRule type="duplicateValues" dxfId="1134" priority="996"/>
    <cfRule type="duplicateValues" dxfId="1133" priority="997" stopIfTrue="1"/>
    <cfRule type="duplicateValues" dxfId="1132" priority="998"/>
    <cfRule type="duplicateValues" dxfId="1131" priority="999"/>
    <cfRule type="duplicateValues" dxfId="1130" priority="1000"/>
    <cfRule type="duplicateValues" dxfId="1129" priority="1001"/>
    <cfRule type="duplicateValues" dxfId="1128" priority="1002"/>
    <cfRule type="duplicateValues" dxfId="1127" priority="1003"/>
    <cfRule type="duplicateValues" dxfId="1126" priority="1004"/>
    <cfRule type="duplicateValues" dxfId="1125" priority="1005"/>
    <cfRule type="duplicateValues" dxfId="1124" priority="1006"/>
    <cfRule type="duplicateValues" dxfId="1123" priority="1007"/>
    <cfRule type="duplicateValues" dxfId="1122" priority="1008"/>
    <cfRule type="duplicateValues" dxfId="1121" priority="1009"/>
    <cfRule type="duplicateValues" dxfId="1120" priority="1010"/>
    <cfRule type="duplicateValues" dxfId="1119" priority="1011"/>
    <cfRule type="duplicateValues" dxfId="1118" priority="1012"/>
    <cfRule type="duplicateValues" dxfId="1117" priority="1013"/>
    <cfRule type="duplicateValues" dxfId="1116" priority="1014"/>
    <cfRule type="duplicateValues" dxfId="1115" priority="1015"/>
    <cfRule type="duplicateValues" dxfId="1114" priority="1016" stopIfTrue="1"/>
  </conditionalFormatting>
  <conditionalFormatting sqref="D59">
    <cfRule type="duplicateValues" dxfId="1113" priority="1283"/>
  </conditionalFormatting>
  <conditionalFormatting sqref="D62">
    <cfRule type="duplicateValues" dxfId="1112" priority="938"/>
  </conditionalFormatting>
  <conditionalFormatting sqref="D64">
    <cfRule type="duplicateValues" dxfId="1111" priority="1284"/>
    <cfRule type="duplicateValues" dxfId="1110" priority="1285"/>
    <cfRule type="duplicateValues" dxfId="1109" priority="1286"/>
    <cfRule type="duplicateValues" dxfId="1108" priority="1287"/>
    <cfRule type="duplicateValues" dxfId="1107" priority="1288"/>
    <cfRule type="duplicateValues" dxfId="1106" priority="1289"/>
    <cfRule type="duplicateValues" dxfId="1105" priority="1290"/>
    <cfRule type="duplicateValues" dxfId="1104" priority="1291"/>
  </conditionalFormatting>
  <conditionalFormatting sqref="D65:D67">
    <cfRule type="duplicateValues" dxfId="1103" priority="1292"/>
  </conditionalFormatting>
  <conditionalFormatting sqref="D66">
    <cfRule type="duplicateValues" dxfId="1102" priority="1293"/>
  </conditionalFormatting>
  <conditionalFormatting sqref="D67">
    <cfRule type="duplicateValues" dxfId="1101" priority="1294" stopIfTrue="1"/>
  </conditionalFormatting>
  <conditionalFormatting sqref="D70">
    <cfRule type="duplicateValues" dxfId="1100" priority="817"/>
    <cfRule type="duplicateValues" dxfId="1099" priority="818"/>
    <cfRule type="duplicateValues" dxfId="1098" priority="819"/>
    <cfRule type="duplicateValues" dxfId="1097" priority="820"/>
    <cfRule type="duplicateValues" dxfId="1096" priority="821"/>
    <cfRule type="duplicateValues" dxfId="1095" priority="822"/>
    <cfRule type="duplicateValues" dxfId="1094" priority="823"/>
    <cfRule type="duplicateValues" dxfId="1093" priority="824"/>
    <cfRule type="duplicateValues" dxfId="1092" priority="825"/>
  </conditionalFormatting>
  <conditionalFormatting sqref="D80">
    <cfRule type="duplicateValues" dxfId="1091" priority="1295" stopIfTrue="1"/>
  </conditionalFormatting>
  <conditionalFormatting sqref="D84">
    <cfRule type="duplicateValues" dxfId="1090" priority="875"/>
    <cfRule type="duplicateValues" dxfId="1089" priority="876" stopIfTrue="1"/>
    <cfRule type="duplicateValues" dxfId="1088" priority="877"/>
    <cfRule type="duplicateValues" dxfId="1087" priority="878"/>
    <cfRule type="duplicateValues" dxfId="1086" priority="879"/>
    <cfRule type="duplicateValues" dxfId="1085" priority="880" stopIfTrue="1"/>
    <cfRule type="duplicateValues" dxfId="1084" priority="881" stopIfTrue="1"/>
    <cfRule type="duplicateValues" dxfId="1083" priority="882"/>
    <cfRule type="duplicateValues" dxfId="1082" priority="883"/>
    <cfRule type="duplicateValues" dxfId="1081" priority="884"/>
    <cfRule type="duplicateValues" dxfId="1080" priority="885"/>
    <cfRule type="duplicateValues" dxfId="1079" priority="886"/>
    <cfRule type="duplicateValues" dxfId="1078" priority="887" stopIfTrue="1"/>
    <cfRule type="duplicateValues" dxfId="1077" priority="888"/>
    <cfRule type="duplicateValues" dxfId="1076" priority="889" stopIfTrue="1"/>
    <cfRule type="duplicateValues" dxfId="1075" priority="890"/>
    <cfRule type="duplicateValues" dxfId="1074" priority="891"/>
    <cfRule type="duplicateValues" dxfId="1073" priority="892" stopIfTrue="1"/>
    <cfRule type="duplicateValues" dxfId="1072" priority="893"/>
    <cfRule type="duplicateValues" dxfId="1071" priority="894"/>
    <cfRule type="duplicateValues" dxfId="1070" priority="895"/>
    <cfRule type="duplicateValues" dxfId="1069" priority="896"/>
    <cfRule type="duplicateValues" dxfId="1068" priority="897"/>
    <cfRule type="duplicateValues" dxfId="1067" priority="898"/>
    <cfRule type="duplicateValues" dxfId="1066" priority="899"/>
    <cfRule type="duplicateValues" dxfId="1065" priority="900"/>
    <cfRule type="duplicateValues" dxfId="1064" priority="901"/>
    <cfRule type="duplicateValues" dxfId="1063" priority="902"/>
    <cfRule type="duplicateValues" dxfId="1062" priority="903"/>
    <cfRule type="duplicateValues" dxfId="1061" priority="904"/>
    <cfRule type="duplicateValues" dxfId="1060" priority="905"/>
    <cfRule type="duplicateValues" dxfId="1059" priority="906"/>
    <cfRule type="duplicateValues" dxfId="1058" priority="907"/>
    <cfRule type="duplicateValues" dxfId="1057" priority="908"/>
    <cfRule type="duplicateValues" dxfId="1056" priority="909"/>
    <cfRule type="duplicateValues" dxfId="1055" priority="910"/>
    <cfRule type="duplicateValues" dxfId="1054" priority="911" stopIfTrue="1"/>
  </conditionalFormatting>
  <conditionalFormatting sqref="D93">
    <cfRule type="duplicateValues" dxfId="1053" priority="607"/>
    <cfRule type="duplicateValues" dxfId="1052" priority="608"/>
    <cfRule type="duplicateValues" dxfId="1051" priority="609"/>
    <cfRule type="duplicateValues" dxfId="1050" priority="610"/>
    <cfRule type="duplicateValues" dxfId="1049" priority="611"/>
    <cfRule type="duplicateValues" dxfId="1048" priority="612"/>
    <cfRule type="duplicateValues" dxfId="1047" priority="613"/>
    <cfRule type="duplicateValues" dxfId="1046" priority="614"/>
    <cfRule type="duplicateValues" dxfId="1045" priority="615"/>
    <cfRule type="duplicateValues" dxfId="1044" priority="616"/>
    <cfRule type="duplicateValues" dxfId="1043" priority="617"/>
    <cfRule type="duplicateValues" dxfId="1042" priority="618"/>
    <cfRule type="duplicateValues" dxfId="1041" priority="619"/>
    <cfRule type="duplicateValues" dxfId="1040" priority="620"/>
    <cfRule type="duplicateValues" dxfId="1039" priority="621"/>
    <cfRule type="duplicateValues" dxfId="1038" priority="622"/>
    <cfRule type="duplicateValues" dxfId="1037" priority="623"/>
    <cfRule type="duplicateValues" dxfId="1036" priority="624"/>
  </conditionalFormatting>
  <conditionalFormatting sqref="D100">
    <cfRule type="duplicateValues" dxfId="1035" priority="1296"/>
  </conditionalFormatting>
  <conditionalFormatting sqref="D106">
    <cfRule type="duplicateValues" dxfId="1034" priority="1297"/>
    <cfRule type="duplicateValues" dxfId="1033" priority="1298"/>
    <cfRule type="duplicateValues" dxfId="1032" priority="1299"/>
  </conditionalFormatting>
  <conditionalFormatting sqref="D114">
    <cfRule type="duplicateValues" dxfId="1031" priority="1300"/>
  </conditionalFormatting>
  <conditionalFormatting sqref="D117">
    <cfRule type="duplicateValues" dxfId="1030" priority="1301" stopIfTrue="1"/>
  </conditionalFormatting>
  <conditionalFormatting sqref="D119">
    <cfRule type="duplicateValues" dxfId="1029" priority="1302"/>
  </conditionalFormatting>
  <conditionalFormatting sqref="D120">
    <cfRule type="duplicateValues" dxfId="1028" priority="1047"/>
    <cfRule type="duplicateValues" dxfId="1027" priority="1048"/>
  </conditionalFormatting>
  <conditionalFormatting sqref="D48 D50:D53 D44 D55:D119 D121:D158 D1:D6 D14:D41 D10:D12 D46">
    <cfRule type="duplicateValues" dxfId="1026" priority="1049"/>
  </conditionalFormatting>
  <conditionalFormatting sqref="D122">
    <cfRule type="duplicateValues" dxfId="1025" priority="1303"/>
  </conditionalFormatting>
  <conditionalFormatting sqref="D124">
    <cfRule type="duplicateValues" dxfId="1024" priority="1304"/>
  </conditionalFormatting>
  <conditionalFormatting sqref="D125">
    <cfRule type="duplicateValues" dxfId="1023" priority="625"/>
    <cfRule type="duplicateValues" dxfId="1022" priority="626"/>
    <cfRule type="duplicateValues" dxfId="1021" priority="627"/>
    <cfRule type="duplicateValues" dxfId="1020" priority="631"/>
    <cfRule type="duplicateValues" dxfId="1019" priority="632"/>
    <cfRule type="duplicateValues" dxfId="1018" priority="633"/>
    <cfRule type="duplicateValues" dxfId="1017" priority="634"/>
    <cfRule type="duplicateValues" dxfId="1016" priority="635"/>
    <cfRule type="duplicateValues" dxfId="1015" priority="636"/>
    <cfRule type="duplicateValues" dxfId="1014" priority="637"/>
    <cfRule type="duplicateValues" dxfId="1013" priority="638"/>
    <cfRule type="duplicateValues" dxfId="1012" priority="639"/>
  </conditionalFormatting>
  <conditionalFormatting sqref="D127">
    <cfRule type="duplicateValues" dxfId="1011" priority="1305"/>
  </conditionalFormatting>
  <conditionalFormatting sqref="D134">
    <cfRule type="duplicateValues" dxfId="1010" priority="1306"/>
  </conditionalFormatting>
  <conditionalFormatting sqref="D135:D136">
    <cfRule type="duplicateValues" dxfId="1009" priority="1307"/>
  </conditionalFormatting>
  <conditionalFormatting sqref="D136">
    <cfRule type="duplicateValues" dxfId="1008" priority="1308"/>
  </conditionalFormatting>
  <conditionalFormatting sqref="D137:D138">
    <cfRule type="duplicateValues" dxfId="1007" priority="1309"/>
  </conditionalFormatting>
  <conditionalFormatting sqref="D140">
    <cfRule type="duplicateValues" dxfId="1006" priority="1310"/>
  </conditionalFormatting>
  <conditionalFormatting sqref="D141:D142">
    <cfRule type="duplicateValues" dxfId="1005" priority="1311"/>
  </conditionalFormatting>
  <conditionalFormatting sqref="D142">
    <cfRule type="duplicateValues" dxfId="1004" priority="1023"/>
    <cfRule type="duplicateValues" dxfId="1003" priority="1024"/>
    <cfRule type="duplicateValues" dxfId="1002" priority="1025"/>
    <cfRule type="duplicateValues" dxfId="1001" priority="1026"/>
    <cfRule type="duplicateValues" dxfId="1000" priority="1027"/>
    <cfRule type="duplicateValues" dxfId="999" priority="1028"/>
    <cfRule type="duplicateValues" dxfId="998" priority="1029"/>
    <cfRule type="duplicateValues" dxfId="997" priority="1030"/>
    <cfRule type="duplicateValues" dxfId="996" priority="1031"/>
    <cfRule type="duplicateValues" dxfId="995" priority="1032"/>
  </conditionalFormatting>
  <conditionalFormatting sqref="D145">
    <cfRule type="duplicateValues" dxfId="994" priority="1312"/>
  </conditionalFormatting>
  <conditionalFormatting sqref="D148">
    <cfRule type="duplicateValues" dxfId="993" priority="1313"/>
  </conditionalFormatting>
  <conditionalFormatting sqref="D154">
    <cfRule type="duplicateValues" dxfId="992" priority="1316" stopIfTrue="1"/>
  </conditionalFormatting>
  <conditionalFormatting sqref="D150:D153 D155:D157">
    <cfRule type="duplicateValues" dxfId="991" priority="1314" stopIfTrue="1"/>
  </conditionalFormatting>
  <conditionalFormatting sqref="D151:D153 D155:D157">
    <cfRule type="duplicateValues" dxfId="990" priority="1315" stopIfTrue="1"/>
  </conditionalFormatting>
  <conditionalFormatting sqref="D63 D121:D126 D48 D55:D60 D50:D53 D44 D96:D119 D143:D157 D68:D94 D1:D6 D128:D140 D14:D18 D20:D41 D10:D12 D46">
    <cfRule type="duplicateValues" dxfId="989" priority="1317"/>
  </conditionalFormatting>
  <conditionalFormatting sqref="S131:S132 S5:S6 S14:S18 S10:S12">
    <cfRule type="duplicateValues" dxfId="988" priority="1053"/>
  </conditionalFormatting>
  <conditionalFormatting sqref="S15">
    <cfRule type="duplicateValues" dxfId="987" priority="1072" stopIfTrue="1"/>
  </conditionalFormatting>
  <conditionalFormatting sqref="S17">
    <cfRule type="duplicateValues" dxfId="986" priority="745" stopIfTrue="1"/>
    <cfRule type="duplicateValues" dxfId="985" priority="746"/>
    <cfRule type="duplicateValues" dxfId="984" priority="747"/>
  </conditionalFormatting>
  <conditionalFormatting sqref="S19">
    <cfRule type="duplicateValues" dxfId="983" priority="1084"/>
  </conditionalFormatting>
  <conditionalFormatting sqref="S23:S28">
    <cfRule type="duplicateValues" dxfId="982" priority="1141" stopIfTrue="1"/>
  </conditionalFormatting>
  <conditionalFormatting sqref="S57">
    <cfRule type="duplicateValues" dxfId="981" priority="980"/>
    <cfRule type="duplicateValues" dxfId="980" priority="981"/>
    <cfRule type="duplicateValues" dxfId="979" priority="982"/>
    <cfRule type="duplicateValues" dxfId="978" priority="983"/>
  </conditionalFormatting>
  <conditionalFormatting sqref="S84">
    <cfRule type="duplicateValues" dxfId="977" priority="870" stopIfTrue="1"/>
    <cfRule type="duplicateValues" dxfId="976" priority="871"/>
    <cfRule type="duplicateValues" dxfId="975" priority="872"/>
    <cfRule type="duplicateValues" dxfId="974" priority="873"/>
    <cfRule type="duplicateValues" dxfId="973" priority="874"/>
  </conditionalFormatting>
  <conditionalFormatting sqref="S93">
    <cfRule type="duplicateValues" dxfId="972" priority="606"/>
  </conditionalFormatting>
  <conditionalFormatting sqref="S120">
    <cfRule type="duplicateValues" dxfId="971" priority="1046"/>
  </conditionalFormatting>
  <conditionalFormatting sqref="S48 S50:S53 S44 S55:S61 S1:S6 S121:S159 S63:S119 S14:S18 S20:S41 S10:S12 S46">
    <cfRule type="duplicateValues" dxfId="970" priority="1103"/>
  </conditionalFormatting>
  <conditionalFormatting sqref="S142">
    <cfRule type="duplicateValues" dxfId="969" priority="1022"/>
  </conditionalFormatting>
  <conditionalFormatting sqref="X131:X132 X5:X6 X14:X18 X10:X12">
    <cfRule type="duplicateValues" dxfId="968" priority="1052" stopIfTrue="1"/>
  </conditionalFormatting>
  <conditionalFormatting sqref="X17">
    <cfRule type="duplicateValues" dxfId="967" priority="744" stopIfTrue="1"/>
  </conditionalFormatting>
  <conditionalFormatting sqref="X19">
    <cfRule type="duplicateValues" dxfId="966" priority="1085" stopIfTrue="1"/>
  </conditionalFormatting>
  <conditionalFormatting sqref="X20:X22">
    <cfRule type="duplicateValues" dxfId="965" priority="1133" stopIfTrue="1"/>
  </conditionalFormatting>
  <conditionalFormatting sqref="X23:X28">
    <cfRule type="duplicateValues" dxfId="964" priority="1142" stopIfTrue="1"/>
  </conditionalFormatting>
  <conditionalFormatting sqref="X23:X32">
    <cfRule type="duplicateValues" dxfId="963" priority="1148" stopIfTrue="1"/>
  </conditionalFormatting>
  <conditionalFormatting sqref="X24:X25">
    <cfRule type="duplicateValues" dxfId="962" priority="1094" stopIfTrue="1"/>
  </conditionalFormatting>
  <conditionalFormatting sqref="X38:X39">
    <cfRule type="duplicateValues" dxfId="961" priority="1096" stopIfTrue="1"/>
  </conditionalFormatting>
  <conditionalFormatting sqref="X57">
    <cfRule type="duplicateValues" dxfId="960" priority="977" stopIfTrue="1"/>
    <cfRule type="duplicateValues" dxfId="959" priority="978" stopIfTrue="1"/>
    <cfRule type="duplicateValues" dxfId="958" priority="979" stopIfTrue="1"/>
  </conditionalFormatting>
  <conditionalFormatting sqref="X62">
    <cfRule type="duplicateValues" dxfId="957" priority="937" stopIfTrue="1"/>
  </conditionalFormatting>
  <conditionalFormatting sqref="X67">
    <cfRule type="duplicateValues" dxfId="956" priority="1112" stopIfTrue="1"/>
  </conditionalFormatting>
  <conditionalFormatting sqref="X84">
    <cfRule type="duplicateValues" dxfId="955" priority="865" stopIfTrue="1"/>
    <cfRule type="duplicateValues" dxfId="954" priority="866" stopIfTrue="1"/>
    <cfRule type="duplicateValues" dxfId="953" priority="867" stopIfTrue="1"/>
    <cfRule type="duplicateValues" dxfId="952" priority="868" stopIfTrue="1"/>
    <cfRule type="duplicateValues" dxfId="951" priority="869" stopIfTrue="1"/>
  </conditionalFormatting>
  <conditionalFormatting sqref="X119">
    <cfRule type="duplicateValues" dxfId="950" priority="1137" stopIfTrue="1"/>
  </conditionalFormatting>
  <conditionalFormatting sqref="X122">
    <cfRule type="duplicateValues" dxfId="949" priority="1136" stopIfTrue="1"/>
  </conditionalFormatting>
  <conditionalFormatting sqref="X124">
    <cfRule type="duplicateValues" dxfId="948" priority="1131" stopIfTrue="1"/>
  </conditionalFormatting>
  <conditionalFormatting sqref="X135:X136">
    <cfRule type="duplicateValues" dxfId="947" priority="1127" stopIfTrue="1"/>
  </conditionalFormatting>
  <conditionalFormatting sqref="X137:X138">
    <cfRule type="duplicateValues" dxfId="946" priority="1130" stopIfTrue="1"/>
  </conditionalFormatting>
  <conditionalFormatting sqref="X141:X142">
    <cfRule type="duplicateValues" dxfId="945" priority="1106" stopIfTrue="1"/>
  </conditionalFormatting>
  <conditionalFormatting sqref="X145">
    <cfRule type="duplicateValues" dxfId="944" priority="1132" stopIfTrue="1"/>
  </conditionalFormatting>
  <conditionalFormatting sqref="X148">
    <cfRule type="duplicateValues" dxfId="943" priority="1109" stopIfTrue="1"/>
  </conditionalFormatting>
  <conditionalFormatting sqref="Z4">
    <cfRule type="duplicateValues" dxfId="942" priority="1033"/>
    <cfRule type="duplicateValues" dxfId="941" priority="1034"/>
    <cfRule type="duplicateValues" dxfId="940" priority="1037"/>
    <cfRule type="duplicateValues" dxfId="939" priority="1038"/>
    <cfRule type="duplicateValues" dxfId="938" priority="1039"/>
    <cfRule type="duplicateValues" dxfId="937" priority="1040"/>
  </conditionalFormatting>
  <conditionalFormatting sqref="Z5">
    <cfRule type="duplicateValues" dxfId="936" priority="1054"/>
    <cfRule type="duplicateValues" dxfId="935" priority="1055"/>
    <cfRule type="duplicateValues" dxfId="934" priority="1056"/>
  </conditionalFormatting>
  <conditionalFormatting sqref="Z131:Z132 Z5:Z6 Z14:Z18 Z10:Z12">
    <cfRule type="duplicateValues" dxfId="933" priority="1051" stopIfTrue="1"/>
  </conditionalFormatting>
  <conditionalFormatting sqref="Z48 Z50:Z53 Z44 Z55:Z159 Z5:Z6 Z14:Z41 Z10:Z12 Z46">
    <cfRule type="duplicateValues" dxfId="932" priority="1321"/>
    <cfRule type="duplicateValues" dxfId="931" priority="1322"/>
    <cfRule type="duplicateValues" dxfId="930" priority="1323" stopIfTrue="1"/>
    <cfRule type="duplicateValues" dxfId="929" priority="1324"/>
    <cfRule type="duplicateValues" dxfId="928" priority="1325"/>
    <cfRule type="duplicateValues" dxfId="927" priority="1326"/>
    <cfRule type="duplicateValues" dxfId="926" priority="1327"/>
    <cfRule type="duplicateValues" dxfId="925" priority="1328"/>
    <cfRule type="duplicateValues" dxfId="924" priority="1329"/>
    <cfRule type="duplicateValues" dxfId="923" priority="1330" stopIfTrue="1"/>
  </conditionalFormatting>
  <conditionalFormatting sqref="Z6">
    <cfRule type="duplicateValues" dxfId="922" priority="1057"/>
    <cfRule type="duplicateValues" dxfId="921" priority="1058"/>
    <cfRule type="duplicateValues" dxfId="920" priority="1059"/>
  </conditionalFormatting>
  <conditionalFormatting sqref="Z10">
    <cfRule type="duplicateValues" dxfId="919" priority="1060"/>
    <cfRule type="duplicateValues" dxfId="918" priority="1061"/>
    <cfRule type="duplicateValues" dxfId="917" priority="1062"/>
  </conditionalFormatting>
  <conditionalFormatting sqref="Z11">
    <cfRule type="duplicateValues" dxfId="916" priority="1063"/>
    <cfRule type="duplicateValues" dxfId="915" priority="1064"/>
    <cfRule type="duplicateValues" dxfId="914" priority="1065"/>
  </conditionalFormatting>
  <conditionalFormatting sqref="Z12">
    <cfRule type="duplicateValues" dxfId="913" priority="1066"/>
    <cfRule type="duplicateValues" dxfId="912" priority="1067"/>
    <cfRule type="duplicateValues" dxfId="911" priority="1068"/>
  </conditionalFormatting>
  <conditionalFormatting sqref="Z15">
    <cfRule type="duplicateValues" dxfId="910" priority="1069"/>
    <cfRule type="duplicateValues" dxfId="909" priority="1070"/>
    <cfRule type="duplicateValues" dxfId="908" priority="1071"/>
  </conditionalFormatting>
  <conditionalFormatting sqref="Z16:Z17">
    <cfRule type="duplicateValues" dxfId="907" priority="1073"/>
    <cfRule type="duplicateValues" dxfId="906" priority="1074"/>
    <cfRule type="duplicateValues" dxfId="905" priority="1075"/>
  </conditionalFormatting>
  <conditionalFormatting sqref="Z17">
    <cfRule type="duplicateValues" dxfId="904" priority="649" stopIfTrue="1"/>
    <cfRule type="duplicateValues" dxfId="903" priority="650"/>
    <cfRule type="duplicateValues" dxfId="902" priority="651"/>
    <cfRule type="duplicateValues" dxfId="901" priority="652"/>
    <cfRule type="duplicateValues" dxfId="900" priority="653"/>
    <cfRule type="duplicateValues" dxfId="899" priority="654"/>
    <cfRule type="duplicateValues" dxfId="898" priority="655"/>
    <cfRule type="duplicateValues" dxfId="897" priority="656"/>
    <cfRule type="duplicateValues" dxfId="896" priority="657" stopIfTrue="1"/>
    <cfRule type="duplicateValues" dxfId="895" priority="658"/>
    <cfRule type="duplicateValues" dxfId="894" priority="659"/>
    <cfRule type="duplicateValues" dxfId="893" priority="660"/>
    <cfRule type="duplicateValues" dxfId="892" priority="661"/>
    <cfRule type="duplicateValues" dxfId="891" priority="662"/>
    <cfRule type="duplicateValues" dxfId="890" priority="663"/>
    <cfRule type="duplicateValues" dxfId="889" priority="664" stopIfTrue="1"/>
    <cfRule type="duplicateValues" dxfId="888" priority="665" stopIfTrue="1"/>
    <cfRule type="duplicateValues" dxfId="887" priority="666"/>
    <cfRule type="duplicateValues" dxfId="886" priority="667"/>
    <cfRule type="duplicateValues" dxfId="885" priority="668"/>
    <cfRule type="duplicateValues" dxfId="884" priority="669"/>
    <cfRule type="duplicateValues" dxfId="883" priority="670" stopIfTrue="1"/>
    <cfRule type="duplicateValues" dxfId="882" priority="671"/>
    <cfRule type="duplicateValues" dxfId="881" priority="672"/>
    <cfRule type="duplicateValues" dxfId="880" priority="673" stopIfTrue="1"/>
    <cfRule type="duplicateValues" dxfId="879" priority="674"/>
    <cfRule type="duplicateValues" dxfId="878" priority="675"/>
    <cfRule type="duplicateValues" dxfId="877" priority="676"/>
    <cfRule type="duplicateValues" dxfId="876" priority="677"/>
    <cfRule type="duplicateValues" dxfId="875" priority="678"/>
    <cfRule type="duplicateValues" dxfId="874" priority="679"/>
    <cfRule type="duplicateValues" dxfId="873" priority="680" stopIfTrue="1"/>
    <cfRule type="duplicateValues" dxfId="872" priority="681"/>
    <cfRule type="duplicateValues" dxfId="871" priority="682"/>
    <cfRule type="duplicateValues" dxfId="870" priority="683"/>
    <cfRule type="duplicateValues" dxfId="869" priority="684"/>
    <cfRule type="duplicateValues" dxfId="868" priority="685"/>
    <cfRule type="duplicateValues" dxfId="867" priority="686"/>
    <cfRule type="duplicateValues" dxfId="866" priority="687" stopIfTrue="1"/>
    <cfRule type="duplicateValues" dxfId="865" priority="688" stopIfTrue="1"/>
    <cfRule type="duplicateValues" dxfId="864" priority="689"/>
    <cfRule type="duplicateValues" dxfId="863" priority="690"/>
    <cfRule type="duplicateValues" dxfId="862" priority="691"/>
    <cfRule type="duplicateValues" dxfId="861" priority="692"/>
    <cfRule type="duplicateValues" dxfId="860" priority="693" stopIfTrue="1"/>
    <cfRule type="duplicateValues" dxfId="859" priority="694"/>
    <cfRule type="duplicateValues" dxfId="858" priority="695"/>
    <cfRule type="duplicateValues" dxfId="857" priority="696" stopIfTrue="1"/>
    <cfRule type="duplicateValues" dxfId="856" priority="697"/>
    <cfRule type="duplicateValues" dxfId="855" priority="698" stopIfTrue="1"/>
    <cfRule type="duplicateValues" dxfId="854" priority="699" stopIfTrue="1"/>
    <cfRule type="duplicateValues" dxfId="853" priority="700" stopIfTrue="1"/>
    <cfRule type="duplicateValues" dxfId="852" priority="701" stopIfTrue="1"/>
    <cfRule type="duplicateValues" dxfId="851" priority="702" stopIfTrue="1"/>
    <cfRule type="duplicateValues" dxfId="850" priority="703" stopIfTrue="1"/>
    <cfRule type="duplicateValues" dxfId="849" priority="704"/>
    <cfRule type="duplicateValues" dxfId="848" priority="705"/>
    <cfRule type="duplicateValues" dxfId="847" priority="706"/>
    <cfRule type="duplicateValues" dxfId="846" priority="707"/>
    <cfRule type="duplicateValues" dxfId="845" priority="708"/>
    <cfRule type="duplicateValues" dxfId="844" priority="709"/>
    <cfRule type="duplicateValues" dxfId="843" priority="710"/>
    <cfRule type="duplicateValues" dxfId="842" priority="711"/>
    <cfRule type="duplicateValues" dxfId="841" priority="712"/>
    <cfRule type="duplicateValues" dxfId="840" priority="713" stopIfTrue="1"/>
    <cfRule type="duplicateValues" dxfId="839" priority="714"/>
    <cfRule type="duplicateValues" dxfId="838" priority="715"/>
    <cfRule type="duplicateValues" dxfId="837" priority="716"/>
    <cfRule type="duplicateValues" dxfId="836" priority="717"/>
    <cfRule type="duplicateValues" dxfId="835" priority="718"/>
    <cfRule type="duplicateValues" dxfId="834" priority="719" stopIfTrue="1"/>
    <cfRule type="duplicateValues" dxfId="833" priority="720"/>
    <cfRule type="duplicateValues" dxfId="832" priority="721"/>
    <cfRule type="duplicateValues" dxfId="831" priority="722" stopIfTrue="1"/>
    <cfRule type="duplicateValues" dxfId="830" priority="723"/>
    <cfRule type="duplicateValues" dxfId="829" priority="724"/>
    <cfRule type="duplicateValues" dxfId="828" priority="725"/>
    <cfRule type="duplicateValues" dxfId="827" priority="726"/>
    <cfRule type="duplicateValues" dxfId="826" priority="727"/>
    <cfRule type="duplicateValues" dxfId="825" priority="728"/>
    <cfRule type="duplicateValues" dxfId="824" priority="729" stopIfTrue="1"/>
    <cfRule type="duplicateValues" dxfId="823" priority="730" stopIfTrue="1"/>
    <cfRule type="duplicateValues" dxfId="822" priority="731"/>
    <cfRule type="duplicateValues" dxfId="821" priority="732"/>
    <cfRule type="duplicateValues" dxfId="820" priority="733" stopIfTrue="1"/>
    <cfRule type="duplicateValues" dxfId="819" priority="734"/>
    <cfRule type="duplicateValues" dxfId="818" priority="735"/>
    <cfRule type="duplicateValues" dxfId="817" priority="736"/>
    <cfRule type="duplicateValues" dxfId="816" priority="737" stopIfTrue="1"/>
    <cfRule type="duplicateValues" dxfId="815" priority="738"/>
    <cfRule type="duplicateValues" dxfId="814" priority="739"/>
    <cfRule type="duplicateValues" dxfId="813" priority="740"/>
    <cfRule type="duplicateValues" dxfId="812" priority="741"/>
    <cfRule type="duplicateValues" dxfId="811" priority="742"/>
    <cfRule type="duplicateValues" dxfId="810" priority="743" stopIfTrue="1"/>
  </conditionalFormatting>
  <conditionalFormatting sqref="Z18">
    <cfRule type="duplicateValues" dxfId="809" priority="1076"/>
    <cfRule type="duplicateValues" dxfId="808" priority="1077"/>
    <cfRule type="duplicateValues" dxfId="807" priority="1078"/>
  </conditionalFormatting>
  <conditionalFormatting sqref="Z19">
    <cfRule type="duplicateValues" dxfId="806" priority="1087" stopIfTrue="1"/>
  </conditionalFormatting>
  <conditionalFormatting sqref="Z20:Z22">
    <cfRule type="duplicateValues" dxfId="805" priority="1135" stopIfTrue="1"/>
  </conditionalFormatting>
  <conditionalFormatting sqref="Z23:Z28">
    <cfRule type="duplicateValues" dxfId="804" priority="1143" stopIfTrue="1"/>
  </conditionalFormatting>
  <conditionalFormatting sqref="Z23:Z32">
    <cfRule type="duplicateValues" dxfId="803" priority="1149" stopIfTrue="1"/>
  </conditionalFormatting>
  <conditionalFormatting sqref="Z48 Z55 Z50:Z53 Z44 Z23:Z41 Z46">
    <cfRule type="duplicateValues" dxfId="802" priority="1173" stopIfTrue="1"/>
  </conditionalFormatting>
  <conditionalFormatting sqref="Z24:Z25">
    <cfRule type="duplicateValues" dxfId="801" priority="1095" stopIfTrue="1"/>
  </conditionalFormatting>
  <conditionalFormatting sqref="Z26:Z28">
    <cfRule type="duplicateValues" dxfId="800" priority="1140" stopIfTrue="1"/>
  </conditionalFormatting>
  <conditionalFormatting sqref="Z27">
    <cfRule type="duplicateValues" dxfId="799" priority="1122"/>
  </conditionalFormatting>
  <conditionalFormatting sqref="Z28">
    <cfRule type="duplicateValues" dxfId="798" priority="1139" stopIfTrue="1"/>
  </conditionalFormatting>
  <conditionalFormatting sqref="Z29:Z32">
    <cfRule type="duplicateValues" dxfId="797" priority="1147" stopIfTrue="1"/>
  </conditionalFormatting>
  <conditionalFormatting sqref="Z30">
    <cfRule type="duplicateValues" dxfId="796" priority="1100"/>
    <cfRule type="duplicateValues" dxfId="795" priority="1101"/>
  </conditionalFormatting>
  <conditionalFormatting sqref="Z31:Z32">
    <cfRule type="duplicateValues" dxfId="794" priority="1146" stopIfTrue="1"/>
  </conditionalFormatting>
  <conditionalFormatting sqref="Z32">
    <cfRule type="duplicateValues" dxfId="793" priority="1145" stopIfTrue="1"/>
  </conditionalFormatting>
  <conditionalFormatting sqref="Z32">
    <cfRule type="duplicateValues" dxfId="792" priority="1144" stopIfTrue="1"/>
  </conditionalFormatting>
  <conditionalFormatting sqref="Z48 Z33:Z41 Z50:Z52 Z44 Z46">
    <cfRule type="duplicateValues" dxfId="791" priority="1175" stopIfTrue="1"/>
  </conditionalFormatting>
  <conditionalFormatting sqref="Z34:Z36">
    <cfRule type="duplicateValues" dxfId="790" priority="1153" stopIfTrue="1"/>
  </conditionalFormatting>
  <conditionalFormatting sqref="Z35:Z36">
    <cfRule type="duplicateValues" dxfId="789" priority="1150" stopIfTrue="1"/>
    <cfRule type="duplicateValues" dxfId="788" priority="1151" stopIfTrue="1"/>
    <cfRule type="duplicateValues" dxfId="787" priority="1152" stopIfTrue="1"/>
  </conditionalFormatting>
  <conditionalFormatting sqref="Z36">
    <cfRule type="duplicateValues" dxfId="786" priority="1088"/>
    <cfRule type="duplicateValues" dxfId="785" priority="1089"/>
    <cfRule type="duplicateValues" dxfId="784" priority="1090"/>
  </conditionalFormatting>
  <conditionalFormatting sqref="Z38:Z39">
    <cfRule type="duplicateValues" dxfId="783" priority="1097" stopIfTrue="1"/>
  </conditionalFormatting>
  <conditionalFormatting sqref="Z39">
    <cfRule type="duplicateValues" dxfId="782" priority="925"/>
    <cfRule type="duplicateValues" dxfId="781" priority="926"/>
    <cfRule type="duplicateValues" dxfId="780" priority="927"/>
  </conditionalFormatting>
  <conditionalFormatting sqref="Z48 Z40:Z41 Z50:Z52 Z44 Z46">
    <cfRule type="duplicateValues" dxfId="779" priority="1176" stopIfTrue="1"/>
  </conditionalFormatting>
  <conditionalFormatting sqref="Z41">
    <cfRule type="duplicateValues" dxfId="778" priority="1080"/>
    <cfRule type="duplicateValues" dxfId="777" priority="1081"/>
    <cfRule type="duplicateValues" dxfId="776" priority="1082" stopIfTrue="1"/>
  </conditionalFormatting>
  <conditionalFormatting sqref="Z46 Z48 Z50:Z52">
    <cfRule type="duplicateValues" dxfId="775" priority="1177" stopIfTrue="1"/>
  </conditionalFormatting>
  <conditionalFormatting sqref="Z48 Z50:Z52">
    <cfRule type="duplicateValues" dxfId="774" priority="1178" stopIfTrue="1"/>
    <cfRule type="duplicateValues" dxfId="773" priority="1179" stopIfTrue="1"/>
  </conditionalFormatting>
  <conditionalFormatting sqref="Z51:Z52">
    <cfRule type="duplicateValues" dxfId="772" priority="1156" stopIfTrue="1"/>
  </conditionalFormatting>
  <conditionalFormatting sqref="Z52">
    <cfRule type="duplicateValues" dxfId="771" priority="1155" stopIfTrue="1"/>
  </conditionalFormatting>
  <conditionalFormatting sqref="Z53">
    <cfRule type="duplicateValues" dxfId="770" priority="913"/>
    <cfRule type="duplicateValues" dxfId="769" priority="914"/>
    <cfRule type="duplicateValues" dxfId="768" priority="915"/>
  </conditionalFormatting>
  <conditionalFormatting sqref="Z56:Z59">
    <cfRule type="duplicateValues" dxfId="767" priority="1163" stopIfTrue="1"/>
  </conditionalFormatting>
  <conditionalFormatting sqref="Z57">
    <cfRule type="duplicateValues" dxfId="766" priority="942" stopIfTrue="1"/>
    <cfRule type="duplicateValues" dxfId="765" priority="943" stopIfTrue="1"/>
    <cfRule type="duplicateValues" dxfId="764" priority="944" stopIfTrue="1"/>
    <cfRule type="duplicateValues" dxfId="763" priority="945" stopIfTrue="1"/>
    <cfRule type="duplicateValues" dxfId="762" priority="946" stopIfTrue="1"/>
    <cfRule type="duplicateValues" dxfId="761" priority="947" stopIfTrue="1"/>
    <cfRule type="duplicateValues" dxfId="760" priority="948" stopIfTrue="1"/>
    <cfRule type="duplicateValues" dxfId="759" priority="949" stopIfTrue="1"/>
    <cfRule type="duplicateValues" dxfId="758" priority="950" stopIfTrue="1"/>
    <cfRule type="duplicateValues" dxfId="757" priority="951" stopIfTrue="1"/>
    <cfRule type="duplicateValues" dxfId="756" priority="952" stopIfTrue="1"/>
    <cfRule type="duplicateValues" dxfId="755" priority="953"/>
    <cfRule type="duplicateValues" dxfId="754" priority="954"/>
    <cfRule type="duplicateValues" dxfId="753" priority="955" stopIfTrue="1"/>
    <cfRule type="duplicateValues" dxfId="752" priority="956"/>
    <cfRule type="duplicateValues" dxfId="751" priority="957"/>
    <cfRule type="duplicateValues" dxfId="750" priority="958"/>
    <cfRule type="duplicateValues" dxfId="749" priority="959"/>
    <cfRule type="duplicateValues" dxfId="748" priority="960"/>
    <cfRule type="duplicateValues" dxfId="747" priority="961"/>
    <cfRule type="duplicateValues" dxfId="746" priority="962" stopIfTrue="1"/>
    <cfRule type="duplicateValues" dxfId="745" priority="963" stopIfTrue="1"/>
    <cfRule type="duplicateValues" dxfId="744" priority="964"/>
    <cfRule type="duplicateValues" dxfId="743" priority="965"/>
    <cfRule type="duplicateValues" dxfId="742" priority="966" stopIfTrue="1"/>
    <cfRule type="duplicateValues" dxfId="741" priority="967"/>
    <cfRule type="duplicateValues" dxfId="740" priority="968"/>
    <cfRule type="duplicateValues" dxfId="739" priority="969"/>
    <cfRule type="duplicateValues" dxfId="738" priority="970" stopIfTrue="1"/>
    <cfRule type="duplicateValues" dxfId="737" priority="971"/>
    <cfRule type="duplicateValues" dxfId="736" priority="972"/>
    <cfRule type="duplicateValues" dxfId="735" priority="973"/>
    <cfRule type="duplicateValues" dxfId="734" priority="974"/>
    <cfRule type="duplicateValues" dxfId="733" priority="975"/>
    <cfRule type="duplicateValues" dxfId="732" priority="976" stopIfTrue="1"/>
  </conditionalFormatting>
  <conditionalFormatting sqref="Z58">
    <cfRule type="duplicateValues" dxfId="731" priority="1083" stopIfTrue="1"/>
  </conditionalFormatting>
  <conditionalFormatting sqref="Z59">
    <cfRule type="duplicateValues" dxfId="730" priority="1125"/>
  </conditionalFormatting>
  <conditionalFormatting sqref="Z63">
    <cfRule type="duplicateValues" dxfId="729" priority="1171" stopIfTrue="1"/>
  </conditionalFormatting>
  <conditionalFormatting sqref="Z64">
    <cfRule type="duplicateValues" dxfId="728" priority="1091"/>
    <cfRule type="duplicateValues" dxfId="727" priority="1092"/>
    <cfRule type="duplicateValues" dxfId="726" priority="1093"/>
    <cfRule type="duplicateValues" dxfId="725" priority="1111" stopIfTrue="1"/>
  </conditionalFormatting>
  <conditionalFormatting sqref="Z65:Z67">
    <cfRule type="duplicateValues" dxfId="724" priority="1117" stopIfTrue="1"/>
  </conditionalFormatting>
  <conditionalFormatting sqref="Z66">
    <cfRule type="duplicateValues" dxfId="723" priority="1098"/>
    <cfRule type="duplicateValues" dxfId="722" priority="1099"/>
  </conditionalFormatting>
  <conditionalFormatting sqref="Z67">
    <cfRule type="duplicateValues" dxfId="721" priority="1113" stopIfTrue="1"/>
  </conditionalFormatting>
  <conditionalFormatting sqref="Z70">
    <cfRule type="duplicateValues" dxfId="720" priority="814"/>
    <cfRule type="duplicateValues" dxfId="719" priority="815"/>
    <cfRule type="duplicateValues" dxfId="718" priority="816"/>
  </conditionalFormatting>
  <conditionalFormatting sqref="Z80">
    <cfRule type="duplicateValues" dxfId="717" priority="1157" stopIfTrue="1"/>
  </conditionalFormatting>
  <conditionalFormatting sqref="Z82">
    <cfRule type="duplicateValues" dxfId="716" priority="1170" stopIfTrue="1"/>
  </conditionalFormatting>
  <conditionalFormatting sqref="Z84">
    <cfRule type="duplicateValues" dxfId="715" priority="829" stopIfTrue="1"/>
    <cfRule type="duplicateValues" dxfId="714" priority="830" stopIfTrue="1"/>
    <cfRule type="duplicateValues" dxfId="713" priority="831" stopIfTrue="1"/>
    <cfRule type="duplicateValues" dxfId="712" priority="832" stopIfTrue="1"/>
    <cfRule type="duplicateValues" dxfId="711" priority="833" stopIfTrue="1"/>
    <cfRule type="duplicateValues" dxfId="710" priority="834" stopIfTrue="1"/>
    <cfRule type="duplicateValues" dxfId="709" priority="835" stopIfTrue="1"/>
    <cfRule type="duplicateValues" dxfId="708" priority="836" stopIfTrue="1"/>
    <cfRule type="duplicateValues" dxfId="707" priority="837" stopIfTrue="1"/>
    <cfRule type="duplicateValues" dxfId="706" priority="838" stopIfTrue="1"/>
    <cfRule type="duplicateValues" dxfId="705" priority="839" stopIfTrue="1"/>
    <cfRule type="duplicateValues" dxfId="704" priority="840" stopIfTrue="1"/>
    <cfRule type="duplicateValues" dxfId="703" priority="841"/>
    <cfRule type="duplicateValues" dxfId="702" priority="842"/>
    <cfRule type="duplicateValues" dxfId="701" priority="843" stopIfTrue="1"/>
    <cfRule type="duplicateValues" dxfId="700" priority="844"/>
    <cfRule type="duplicateValues" dxfId="699" priority="845"/>
    <cfRule type="duplicateValues" dxfId="698" priority="846"/>
    <cfRule type="duplicateValues" dxfId="697" priority="847"/>
    <cfRule type="duplicateValues" dxfId="696" priority="848"/>
    <cfRule type="duplicateValues" dxfId="695" priority="849"/>
    <cfRule type="duplicateValues" dxfId="694" priority="850" stopIfTrue="1"/>
    <cfRule type="duplicateValues" dxfId="693" priority="851" stopIfTrue="1"/>
    <cfRule type="duplicateValues" dxfId="692" priority="852"/>
    <cfRule type="duplicateValues" dxfId="691" priority="853"/>
    <cfRule type="duplicateValues" dxfId="690" priority="854" stopIfTrue="1"/>
    <cfRule type="duplicateValues" dxfId="689" priority="855"/>
    <cfRule type="duplicateValues" dxfId="688" priority="856"/>
    <cfRule type="duplicateValues" dxfId="687" priority="857"/>
    <cfRule type="duplicateValues" dxfId="686" priority="858" stopIfTrue="1"/>
    <cfRule type="duplicateValues" dxfId="685" priority="859"/>
    <cfRule type="duplicateValues" dxfId="684" priority="860"/>
    <cfRule type="duplicateValues" dxfId="683" priority="861"/>
    <cfRule type="duplicateValues" dxfId="682" priority="862"/>
    <cfRule type="duplicateValues" dxfId="681" priority="863"/>
    <cfRule type="duplicateValues" dxfId="680" priority="864" stopIfTrue="1"/>
  </conditionalFormatting>
  <conditionalFormatting sqref="Z93">
    <cfRule type="duplicateValues" dxfId="679" priority="597"/>
    <cfRule type="duplicateValues" dxfId="678" priority="598"/>
    <cfRule type="duplicateValues" dxfId="677" priority="599"/>
    <cfRule type="duplicateValues" dxfId="676" priority="600" stopIfTrue="1"/>
    <cfRule type="duplicateValues" dxfId="675" priority="601"/>
    <cfRule type="duplicateValues" dxfId="674" priority="602"/>
    <cfRule type="duplicateValues" dxfId="673" priority="603"/>
    <cfRule type="duplicateValues" dxfId="672" priority="604"/>
    <cfRule type="duplicateValues" dxfId="671" priority="605"/>
  </conditionalFormatting>
  <conditionalFormatting sqref="Z100">
    <cfRule type="duplicateValues" dxfId="670" priority="1121"/>
  </conditionalFormatting>
  <conditionalFormatting sqref="Z106">
    <cfRule type="duplicateValues" dxfId="669" priority="1118"/>
  </conditionalFormatting>
  <conditionalFormatting sqref="Z114">
    <cfRule type="duplicateValues" dxfId="668" priority="1120"/>
  </conditionalFormatting>
  <conditionalFormatting sqref="Z117">
    <cfRule type="duplicateValues" dxfId="667" priority="1160" stopIfTrue="1"/>
  </conditionalFormatting>
  <conditionalFormatting sqref="Z120">
    <cfRule type="duplicateValues" dxfId="666" priority="1043" stopIfTrue="1"/>
    <cfRule type="duplicateValues" dxfId="665" priority="1044"/>
    <cfRule type="duplicateValues" dxfId="664" priority="1045"/>
  </conditionalFormatting>
  <conditionalFormatting sqref="Z48 Z50:Z53 Z44 Z55:Z119 Z1:Z6 Z121:Z159 Z14:Z18 Z20:Z41 Z10:Z12 Z46">
    <cfRule type="duplicateValues" dxfId="663" priority="1102"/>
  </conditionalFormatting>
  <conditionalFormatting sqref="Z125">
    <cfRule type="duplicateValues" dxfId="662" priority="628"/>
    <cfRule type="duplicateValues" dxfId="661" priority="629"/>
    <cfRule type="duplicateValues" dxfId="660" priority="630"/>
  </conditionalFormatting>
  <conditionalFormatting sqref="Z127">
    <cfRule type="duplicateValues" dxfId="659" priority="1115"/>
  </conditionalFormatting>
  <conditionalFormatting sqref="Z129">
    <cfRule type="duplicateValues" dxfId="658" priority="1138" stopIfTrue="1"/>
  </conditionalFormatting>
  <conditionalFormatting sqref="Z134">
    <cfRule type="duplicateValues" dxfId="657" priority="1126"/>
  </conditionalFormatting>
  <conditionalFormatting sqref="Z136">
    <cfRule type="duplicateValues" dxfId="656" priority="1124"/>
  </conditionalFormatting>
  <conditionalFormatting sqref="Z140">
    <cfRule type="duplicateValues" dxfId="655" priority="1123"/>
  </conditionalFormatting>
  <conditionalFormatting sqref="Z141:Z142">
    <cfRule type="duplicateValues" dxfId="654" priority="1105"/>
    <cfRule type="duplicateValues" dxfId="653" priority="1114"/>
  </conditionalFormatting>
  <conditionalFormatting sqref="Z142">
    <cfRule type="duplicateValues" dxfId="652" priority="1018"/>
    <cfRule type="duplicateValues" dxfId="651" priority="1019"/>
    <cfRule type="duplicateValues" dxfId="650" priority="1020"/>
    <cfRule type="duplicateValues" dxfId="649" priority="1021"/>
  </conditionalFormatting>
  <conditionalFormatting sqref="Z143">
    <cfRule type="duplicateValues" dxfId="648" priority="1129" stopIfTrue="1"/>
  </conditionalFormatting>
  <conditionalFormatting sqref="Z121:Z126 Z48 Z55:Z63 Z50:Z53 Z44 Z143:Z159 Z68:Z119 Z1:Z6 Z128:Z140 Z14:Z18 Z20:Z41 Z10:Z12 Z46">
    <cfRule type="duplicateValues" dxfId="647" priority="1119"/>
  </conditionalFormatting>
  <conditionalFormatting sqref="Z148">
    <cfRule type="duplicateValues" dxfId="646" priority="1108"/>
  </conditionalFormatting>
  <conditionalFormatting sqref="Z154">
    <cfRule type="duplicateValues" dxfId="645" priority="1128" stopIfTrue="1"/>
  </conditionalFormatting>
  <conditionalFormatting sqref="Z150:Z153 Z155:Z157">
    <cfRule type="duplicateValues" dxfId="644" priority="1159" stopIfTrue="1"/>
  </conditionalFormatting>
  <conditionalFormatting sqref="Z151:Z153 Z155:Z157">
    <cfRule type="duplicateValues" dxfId="643" priority="1158" stopIfTrue="1"/>
  </conditionalFormatting>
  <conditionalFormatting sqref="Z128 Z63 Z121:Z126 Z48 Z55:Z60 Z144:Z153 Z50:Z53 Z44 Z96:Z119 Z155:Z159 Z68:Z94 Z1:Z6 Z130:Z140 Z14:Z18 Z23:Z41 Z10:Z12 Z46">
    <cfRule type="duplicateValues" dxfId="642" priority="1180" stopIfTrue="1"/>
  </conditionalFormatting>
  <conditionalFormatting sqref="Z158:Z159">
    <cfRule type="duplicateValues" dxfId="641" priority="1172" stopIfTrue="1"/>
  </conditionalFormatting>
  <conditionalFormatting sqref="Z159">
    <cfRule type="duplicateValues" dxfId="640" priority="1161" stopIfTrue="1"/>
  </conditionalFormatting>
  <conditionalFormatting sqref="AB34:AB36">
    <cfRule type="duplicateValues" dxfId="639" priority="1154" stopIfTrue="1"/>
  </conditionalFormatting>
  <conditionalFormatting sqref="AI17">
    <cfRule type="duplicateValues" dxfId="638" priority="648" stopIfTrue="1"/>
  </conditionalFormatting>
  <conditionalFormatting sqref="AJ17">
    <cfRule type="duplicateValues" dxfId="637" priority="647" stopIfTrue="1"/>
  </conditionalFormatting>
  <conditionalFormatting sqref="AM131:AM132 AM5:AM6 AM14:AM18 AM10:AM12">
    <cfRule type="duplicateValues" dxfId="636" priority="1050" stopIfTrue="1"/>
  </conditionalFormatting>
  <conditionalFormatting sqref="AM48 AM50:AM53 AM44 AM55:AM159 AM5:AM6 AM14:AM41 AM10:AM12 AM46">
    <cfRule type="duplicateValues" dxfId="635" priority="1331" stopIfTrue="1"/>
    <cfRule type="duplicateValues" dxfId="634" priority="1332" stopIfTrue="1"/>
  </conditionalFormatting>
  <conditionalFormatting sqref="AM17">
    <cfRule type="duplicateValues" dxfId="633" priority="641" stopIfTrue="1"/>
    <cfRule type="duplicateValues" dxfId="632" priority="642" stopIfTrue="1"/>
    <cfRule type="duplicateValues" dxfId="631" priority="643" stopIfTrue="1"/>
    <cfRule type="duplicateValues" dxfId="630" priority="644" stopIfTrue="1"/>
    <cfRule type="duplicateValues" dxfId="629" priority="645" stopIfTrue="1"/>
    <cfRule type="duplicateValues" dxfId="628" priority="646" stopIfTrue="1"/>
  </conditionalFormatting>
  <conditionalFormatting sqref="AM19">
    <cfRule type="duplicateValues" dxfId="627" priority="1086" stopIfTrue="1"/>
  </conditionalFormatting>
  <conditionalFormatting sqref="AM20:AM22">
    <cfRule type="duplicateValues" dxfId="626" priority="1134" stopIfTrue="1"/>
  </conditionalFormatting>
  <conditionalFormatting sqref="AM48 AM55 AM50:AM53 AM44 AM23:AM41 AM46">
    <cfRule type="duplicateValues" dxfId="625" priority="1174" stopIfTrue="1"/>
  </conditionalFormatting>
  <conditionalFormatting sqref="AM41">
    <cfRule type="duplicateValues" dxfId="624" priority="1079" stopIfTrue="1"/>
  </conditionalFormatting>
  <conditionalFormatting sqref="AM56:AM59">
    <cfRule type="duplicateValues" dxfId="623" priority="1162" stopIfTrue="1"/>
  </conditionalFormatting>
  <conditionalFormatting sqref="AM57">
    <cfRule type="duplicateValues" dxfId="622" priority="939" stopIfTrue="1"/>
    <cfRule type="duplicateValues" dxfId="621" priority="940" stopIfTrue="1"/>
    <cfRule type="duplicateValues" dxfId="620" priority="941" stopIfTrue="1"/>
  </conditionalFormatting>
  <conditionalFormatting sqref="AM63">
    <cfRule type="duplicateValues" dxfId="619" priority="1165" stopIfTrue="1"/>
  </conditionalFormatting>
  <conditionalFormatting sqref="AM64">
    <cfRule type="duplicateValues" dxfId="618" priority="1110" stopIfTrue="1"/>
  </conditionalFormatting>
  <conditionalFormatting sqref="AM65:AM67">
    <cfRule type="duplicateValues" dxfId="617" priority="1116" stopIfTrue="1"/>
  </conditionalFormatting>
  <conditionalFormatting sqref="AM68">
    <cfRule type="duplicateValues" dxfId="616" priority="1167" stopIfTrue="1"/>
  </conditionalFormatting>
  <conditionalFormatting sqref="AM69:AM70">
    <cfRule type="duplicateValues" dxfId="615" priority="1164" stopIfTrue="1"/>
  </conditionalFormatting>
  <conditionalFormatting sqref="AM71">
    <cfRule type="duplicateValues" dxfId="614" priority="1042" stopIfTrue="1"/>
    <cfRule type="duplicateValues" dxfId="613" priority="1168" stopIfTrue="1"/>
  </conditionalFormatting>
  <conditionalFormatting sqref="AM72">
    <cfRule type="duplicateValues" dxfId="612" priority="1166" stopIfTrue="1"/>
  </conditionalFormatting>
  <conditionalFormatting sqref="AM73">
    <cfRule type="duplicateValues" dxfId="611" priority="1169" stopIfTrue="1"/>
  </conditionalFormatting>
  <conditionalFormatting sqref="AM84">
    <cfRule type="duplicateValues" dxfId="610" priority="826" stopIfTrue="1"/>
    <cfRule type="duplicateValues" dxfId="609" priority="827" stopIfTrue="1"/>
    <cfRule type="duplicateValues" dxfId="608" priority="828" stopIfTrue="1"/>
  </conditionalFormatting>
  <conditionalFormatting sqref="AM141:AM142">
    <cfRule type="duplicateValues" dxfId="607" priority="1104" stopIfTrue="1"/>
  </conditionalFormatting>
  <conditionalFormatting sqref="AM148">
    <cfRule type="duplicateValues" dxfId="606" priority="1107" stopIfTrue="1"/>
  </conditionalFormatting>
  <conditionalFormatting sqref="AN17">
    <cfRule type="duplicateValues" dxfId="605" priority="640" stopIfTrue="1"/>
  </conditionalFormatting>
  <conditionalFormatting sqref="C88">
    <cfRule type="duplicateValues" dxfId="604" priority="596"/>
  </conditionalFormatting>
  <conditionalFormatting sqref="D88">
    <cfRule type="duplicateValues" dxfId="603" priority="585"/>
    <cfRule type="duplicateValues" dxfId="602" priority="586"/>
    <cfRule type="duplicateValues" dxfId="601" priority="587"/>
    <cfRule type="duplicateValues" dxfId="600" priority="588"/>
    <cfRule type="duplicateValues" dxfId="599" priority="589"/>
    <cfRule type="duplicateValues" dxfId="598" priority="590"/>
    <cfRule type="duplicateValues" dxfId="597" priority="591"/>
    <cfRule type="duplicateValues" dxfId="596" priority="592"/>
    <cfRule type="duplicateValues" dxfId="595" priority="593"/>
    <cfRule type="duplicateValues" dxfId="594" priority="594"/>
    <cfRule type="duplicateValues" dxfId="593" priority="595" stopIfTrue="1"/>
  </conditionalFormatting>
  <conditionalFormatting sqref="D88">
    <cfRule type="duplicateValues" dxfId="592" priority="572"/>
    <cfRule type="duplicateValues" dxfId="591" priority="573" stopIfTrue="1"/>
    <cfRule type="duplicateValues" dxfId="590" priority="574"/>
    <cfRule type="duplicateValues" dxfId="589" priority="575"/>
    <cfRule type="duplicateValues" dxfId="588" priority="576" stopIfTrue="1"/>
    <cfRule type="duplicateValues" dxfId="587" priority="577"/>
    <cfRule type="duplicateValues" dxfId="586" priority="578"/>
    <cfRule type="duplicateValues" dxfId="585" priority="579"/>
    <cfRule type="duplicateValues" dxfId="584" priority="580"/>
    <cfRule type="duplicateValues" dxfId="583" priority="581"/>
    <cfRule type="duplicateValues" dxfId="582" priority="582"/>
    <cfRule type="duplicateValues" dxfId="581" priority="583"/>
    <cfRule type="duplicateValues" dxfId="580" priority="584"/>
  </conditionalFormatting>
  <conditionalFormatting sqref="S88">
    <cfRule type="duplicateValues" dxfId="579" priority="570"/>
    <cfRule type="duplicateValues" dxfId="578" priority="571"/>
  </conditionalFormatting>
  <conditionalFormatting sqref="X88">
    <cfRule type="duplicateValues" dxfId="577" priority="569" stopIfTrue="1"/>
  </conditionalFormatting>
  <conditionalFormatting sqref="Z88">
    <cfRule type="duplicateValues" dxfId="576" priority="563"/>
    <cfRule type="duplicateValues" dxfId="575" priority="564"/>
    <cfRule type="duplicateValues" dxfId="574" priority="565"/>
    <cfRule type="duplicateValues" dxfId="573" priority="566"/>
    <cfRule type="duplicateValues" dxfId="572" priority="567"/>
    <cfRule type="duplicateValues" dxfId="571" priority="568" stopIfTrue="1"/>
  </conditionalFormatting>
  <conditionalFormatting sqref="Z88">
    <cfRule type="duplicateValues" dxfId="570" priority="545"/>
    <cfRule type="duplicateValues" dxfId="569" priority="546"/>
    <cfRule type="duplicateValues" dxfId="568" priority="547" stopIfTrue="1"/>
    <cfRule type="duplicateValues" dxfId="567" priority="548"/>
    <cfRule type="duplicateValues" dxfId="566" priority="549"/>
    <cfRule type="duplicateValues" dxfId="565" priority="550"/>
    <cfRule type="duplicateValues" dxfId="564" priority="551"/>
    <cfRule type="duplicateValues" dxfId="563" priority="552"/>
    <cfRule type="duplicateValues" dxfId="562" priority="553"/>
    <cfRule type="duplicateValues" dxfId="561" priority="554" stopIfTrue="1"/>
    <cfRule type="duplicateValues" dxfId="560" priority="555" stopIfTrue="1"/>
    <cfRule type="duplicateValues" dxfId="559" priority="556"/>
    <cfRule type="duplicateValues" dxfId="558" priority="557"/>
    <cfRule type="duplicateValues" dxfId="557" priority="558" stopIfTrue="1"/>
    <cfRule type="duplicateValues" dxfId="556" priority="559"/>
    <cfRule type="duplicateValues" dxfId="555" priority="560"/>
    <cfRule type="duplicateValues" dxfId="554" priority="561"/>
    <cfRule type="duplicateValues" dxfId="553" priority="562" stopIfTrue="1"/>
  </conditionalFormatting>
  <conditionalFormatting sqref="Z88">
    <cfRule type="duplicateValues" dxfId="552" priority="544" stopIfTrue="1"/>
  </conditionalFormatting>
  <conditionalFormatting sqref="AM88">
    <cfRule type="duplicateValues" dxfId="551" priority="541" stopIfTrue="1"/>
    <cfRule type="duplicateValues" dxfId="550" priority="542" stopIfTrue="1"/>
    <cfRule type="duplicateValues" dxfId="549" priority="543" stopIfTrue="1"/>
  </conditionalFormatting>
  <conditionalFormatting sqref="Z131:Z132">
    <cfRule type="duplicateValues" dxfId="548" priority="539"/>
    <cfRule type="duplicateValues" dxfId="547" priority="540"/>
  </conditionalFormatting>
  <conditionalFormatting sqref="Z131:Z132">
    <cfRule type="duplicateValues" dxfId="546" priority="538"/>
  </conditionalFormatting>
  <conditionalFormatting sqref="D131:D132">
    <cfRule type="duplicateValues" dxfId="545" priority="537"/>
  </conditionalFormatting>
  <conditionalFormatting sqref="D131:D132">
    <cfRule type="duplicateValues" dxfId="544" priority="529"/>
    <cfRule type="duplicateValues" dxfId="543" priority="530"/>
    <cfRule type="duplicateValues" dxfId="542" priority="531"/>
    <cfRule type="duplicateValues" dxfId="541" priority="532"/>
    <cfRule type="duplicateValues" dxfId="540" priority="533"/>
    <cfRule type="duplicateValues" dxfId="539" priority="534"/>
    <cfRule type="duplicateValues" dxfId="538" priority="535"/>
    <cfRule type="duplicateValues" dxfId="537" priority="536"/>
  </conditionalFormatting>
  <conditionalFormatting sqref="D131:D132 D14">
    <cfRule type="duplicateValues" dxfId="536" priority="1333"/>
    <cfRule type="duplicateValues" dxfId="535" priority="1334"/>
    <cfRule type="duplicateValues" dxfId="534" priority="1335"/>
    <cfRule type="duplicateValues" dxfId="533" priority="1336"/>
    <cfRule type="duplicateValues" dxfId="532" priority="1337"/>
    <cfRule type="duplicateValues" dxfId="531" priority="1338"/>
    <cfRule type="duplicateValues" dxfId="530" priority="1339"/>
    <cfRule type="duplicateValues" dxfId="529" priority="1340"/>
  </conditionalFormatting>
  <conditionalFormatting sqref="Z131:Z132 Z14">
    <cfRule type="duplicateValues" dxfId="528" priority="1341"/>
    <cfRule type="duplicateValues" dxfId="527" priority="1342"/>
    <cfRule type="duplicateValues" dxfId="526" priority="1343"/>
  </conditionalFormatting>
  <conditionalFormatting sqref="C43">
    <cfRule type="duplicateValues" dxfId="525" priority="515"/>
  </conditionalFormatting>
  <conditionalFormatting sqref="C43">
    <cfRule type="duplicateValues" dxfId="524" priority="522"/>
  </conditionalFormatting>
  <conditionalFormatting sqref="Z43">
    <cfRule type="duplicateValues" dxfId="523" priority="523"/>
    <cfRule type="duplicateValues" dxfId="522" priority="524"/>
    <cfRule type="duplicateValues" dxfId="521" priority="525" stopIfTrue="1"/>
    <cfRule type="duplicateValues" dxfId="520" priority="526"/>
    <cfRule type="duplicateValues" dxfId="519" priority="527"/>
  </conditionalFormatting>
  <conditionalFormatting sqref="Z43">
    <cfRule type="duplicateValues" dxfId="518" priority="518"/>
    <cfRule type="duplicateValues" dxfId="517" priority="519"/>
  </conditionalFormatting>
  <conditionalFormatting sqref="Z43">
    <cfRule type="duplicateValues" dxfId="516" priority="516"/>
    <cfRule type="duplicateValues" dxfId="515" priority="517"/>
  </conditionalFormatting>
  <conditionalFormatting sqref="Z43">
    <cfRule type="duplicateValues" dxfId="514" priority="521" stopIfTrue="1"/>
  </conditionalFormatting>
  <conditionalFormatting sqref="AM43">
    <cfRule type="duplicateValues" dxfId="513" priority="528" stopIfTrue="1"/>
  </conditionalFormatting>
  <conditionalFormatting sqref="AM43">
    <cfRule type="duplicateValues" dxfId="512" priority="520" stopIfTrue="1"/>
  </conditionalFormatting>
  <conditionalFormatting sqref="C47">
    <cfRule type="duplicateValues" dxfId="511" priority="503"/>
  </conditionalFormatting>
  <conditionalFormatting sqref="C47">
    <cfRule type="duplicateValues" dxfId="510" priority="508"/>
  </conditionalFormatting>
  <conditionalFormatting sqref="Z47">
    <cfRule type="duplicateValues" dxfId="509" priority="509"/>
    <cfRule type="duplicateValues" dxfId="508" priority="510"/>
    <cfRule type="duplicateValues" dxfId="507" priority="511" stopIfTrue="1"/>
    <cfRule type="duplicateValues" dxfId="506" priority="512"/>
    <cfRule type="duplicateValues" dxfId="505" priority="513"/>
  </conditionalFormatting>
  <conditionalFormatting sqref="Z47">
    <cfRule type="duplicateValues" dxfId="504" priority="506"/>
    <cfRule type="duplicateValues" dxfId="503" priority="507"/>
  </conditionalFormatting>
  <conditionalFormatting sqref="Z47">
    <cfRule type="duplicateValues" dxfId="502" priority="504"/>
    <cfRule type="duplicateValues" dxfId="501" priority="505"/>
  </conditionalFormatting>
  <conditionalFormatting sqref="AM47">
    <cfRule type="duplicateValues" dxfId="500" priority="514" stopIfTrue="1"/>
  </conditionalFormatting>
  <conditionalFormatting sqref="C54">
    <cfRule type="duplicateValues" dxfId="499" priority="438"/>
  </conditionalFormatting>
  <conditionalFormatting sqref="D54">
    <cfRule type="duplicateValues" dxfId="498" priority="477"/>
    <cfRule type="duplicateValues" dxfId="497" priority="478"/>
    <cfRule type="duplicateValues" dxfId="496" priority="479"/>
    <cfRule type="duplicateValues" dxfId="495" priority="480"/>
    <cfRule type="duplicateValues" dxfId="494" priority="481"/>
    <cfRule type="duplicateValues" dxfId="493" priority="482"/>
    <cfRule type="duplicateValues" dxfId="492" priority="483"/>
    <cfRule type="duplicateValues" dxfId="491" priority="484"/>
    <cfRule type="duplicateValues" dxfId="490" priority="485"/>
    <cfRule type="duplicateValues" dxfId="489" priority="486"/>
    <cfRule type="duplicateValues" dxfId="488" priority="487" stopIfTrue="1"/>
  </conditionalFormatting>
  <conditionalFormatting sqref="D54">
    <cfRule type="duplicateValues" dxfId="487" priority="436"/>
    <cfRule type="duplicateValues" dxfId="486" priority="437" stopIfTrue="1"/>
    <cfRule type="duplicateValues" dxfId="485" priority="456"/>
    <cfRule type="duplicateValues" dxfId="484" priority="457"/>
    <cfRule type="duplicateValues" dxfId="483" priority="458" stopIfTrue="1"/>
    <cfRule type="duplicateValues" dxfId="482" priority="459"/>
    <cfRule type="duplicateValues" dxfId="481" priority="460"/>
    <cfRule type="duplicateValues" dxfId="480" priority="461"/>
    <cfRule type="duplicateValues" dxfId="479" priority="462"/>
    <cfRule type="duplicateValues" dxfId="478" priority="463"/>
    <cfRule type="duplicateValues" dxfId="477" priority="464"/>
    <cfRule type="duplicateValues" dxfId="476" priority="465"/>
    <cfRule type="duplicateValues" dxfId="475" priority="466"/>
  </conditionalFormatting>
  <conditionalFormatting sqref="D54">
    <cfRule type="duplicateValues" dxfId="474" priority="498" stopIfTrue="1"/>
  </conditionalFormatting>
  <conditionalFormatting sqref="D54">
    <cfRule type="duplicateValues" dxfId="473" priority="494"/>
  </conditionalFormatting>
  <conditionalFormatting sqref="D54">
    <cfRule type="duplicateValues" dxfId="472" priority="493"/>
  </conditionalFormatting>
  <conditionalFormatting sqref="D54">
    <cfRule type="duplicateValues" dxfId="471" priority="491"/>
  </conditionalFormatting>
  <conditionalFormatting sqref="D54">
    <cfRule type="duplicateValues" dxfId="470" priority="490"/>
  </conditionalFormatting>
  <conditionalFormatting sqref="D54">
    <cfRule type="duplicateValues" dxfId="469" priority="488"/>
  </conditionalFormatting>
  <conditionalFormatting sqref="S54">
    <cfRule type="duplicateValues" dxfId="468" priority="475"/>
    <cfRule type="duplicateValues" dxfId="467" priority="476"/>
  </conditionalFormatting>
  <conditionalFormatting sqref="S54">
    <cfRule type="duplicateValues" dxfId="466" priority="454"/>
    <cfRule type="duplicateValues" dxfId="465" priority="455"/>
  </conditionalFormatting>
  <conditionalFormatting sqref="X54">
    <cfRule type="duplicateValues" dxfId="464" priority="474" stopIfTrue="1"/>
  </conditionalFormatting>
  <conditionalFormatting sqref="X54">
    <cfRule type="duplicateValues" dxfId="463" priority="453" stopIfTrue="1"/>
  </conditionalFormatting>
  <conditionalFormatting sqref="X54">
    <cfRule type="duplicateValues" dxfId="462" priority="497" stopIfTrue="1"/>
  </conditionalFormatting>
  <conditionalFormatting sqref="Z54">
    <cfRule type="duplicateValues" dxfId="461" priority="468"/>
    <cfRule type="duplicateValues" dxfId="460" priority="469"/>
    <cfRule type="duplicateValues" dxfId="459" priority="470"/>
    <cfRule type="duplicateValues" dxfId="458" priority="471"/>
    <cfRule type="duplicateValues" dxfId="457" priority="472"/>
    <cfRule type="duplicateValues" dxfId="456" priority="473" stopIfTrue="1"/>
  </conditionalFormatting>
  <conditionalFormatting sqref="Z54">
    <cfRule type="duplicateValues" dxfId="455" priority="431"/>
    <cfRule type="duplicateValues" dxfId="454" priority="432"/>
    <cfRule type="duplicateValues" dxfId="453" priority="433" stopIfTrue="1"/>
    <cfRule type="duplicateValues" dxfId="452" priority="434"/>
    <cfRule type="duplicateValues" dxfId="451" priority="435"/>
    <cfRule type="duplicateValues" dxfId="450" priority="440"/>
    <cfRule type="duplicateValues" dxfId="449" priority="441"/>
    <cfRule type="duplicateValues" dxfId="448" priority="442"/>
    <cfRule type="duplicateValues" dxfId="447" priority="443"/>
    <cfRule type="duplicateValues" dxfId="446" priority="444" stopIfTrue="1"/>
    <cfRule type="duplicateValues" dxfId="445" priority="446" stopIfTrue="1"/>
    <cfRule type="duplicateValues" dxfId="444" priority="447"/>
    <cfRule type="duplicateValues" dxfId="443" priority="448"/>
    <cfRule type="duplicateValues" dxfId="442" priority="449" stopIfTrue="1"/>
    <cfRule type="duplicateValues" dxfId="441" priority="450"/>
    <cfRule type="duplicateValues" dxfId="440" priority="451"/>
    <cfRule type="duplicateValues" dxfId="439" priority="452"/>
    <cfRule type="duplicateValues" dxfId="438" priority="467" stopIfTrue="1"/>
  </conditionalFormatting>
  <conditionalFormatting sqref="Z54">
    <cfRule type="duplicateValues" dxfId="437" priority="502" stopIfTrue="1"/>
  </conditionalFormatting>
  <conditionalFormatting sqref="Z54">
    <cfRule type="duplicateValues" dxfId="436" priority="501" stopIfTrue="1"/>
  </conditionalFormatting>
  <conditionalFormatting sqref="Z54">
    <cfRule type="duplicateValues" dxfId="435" priority="500" stopIfTrue="1"/>
  </conditionalFormatting>
  <conditionalFormatting sqref="Z54">
    <cfRule type="duplicateValues" dxfId="434" priority="499" stopIfTrue="1"/>
  </conditionalFormatting>
  <conditionalFormatting sqref="Z54">
    <cfRule type="duplicateValues" dxfId="433" priority="496" stopIfTrue="1"/>
  </conditionalFormatting>
  <conditionalFormatting sqref="Z54">
    <cfRule type="duplicateValues" dxfId="432" priority="495" stopIfTrue="1"/>
  </conditionalFormatting>
  <conditionalFormatting sqref="Z54">
    <cfRule type="duplicateValues" dxfId="431" priority="492" stopIfTrue="1"/>
  </conditionalFormatting>
  <conditionalFormatting sqref="Z54">
    <cfRule type="duplicateValues" dxfId="430" priority="489" stopIfTrue="1"/>
  </conditionalFormatting>
  <conditionalFormatting sqref="AM54">
    <cfRule type="duplicateValues" dxfId="429" priority="430" stopIfTrue="1"/>
    <cfRule type="duplicateValues" dxfId="428" priority="439" stopIfTrue="1"/>
    <cfRule type="duplicateValues" dxfId="427" priority="445" stopIfTrue="1"/>
  </conditionalFormatting>
  <conditionalFormatting sqref="C160">
    <cfRule type="duplicateValues" dxfId="426" priority="415"/>
  </conditionalFormatting>
  <conditionalFormatting sqref="D160">
    <cfRule type="duplicateValues" dxfId="425" priority="416"/>
    <cfRule type="duplicateValues" dxfId="424" priority="417" stopIfTrue="1"/>
  </conditionalFormatting>
  <conditionalFormatting sqref="D160">
    <cfRule type="duplicateValues" dxfId="423" priority="411"/>
  </conditionalFormatting>
  <conditionalFormatting sqref="S160">
    <cfRule type="duplicateValues" dxfId="422" priority="413"/>
  </conditionalFormatting>
  <conditionalFormatting sqref="Z160">
    <cfRule type="duplicateValues" dxfId="421" priority="418"/>
    <cfRule type="duplicateValues" dxfId="420" priority="419"/>
    <cfRule type="duplicateValues" dxfId="419" priority="420" stopIfTrue="1"/>
    <cfRule type="duplicateValues" dxfId="418" priority="421"/>
    <cfRule type="duplicateValues" dxfId="417" priority="422"/>
    <cfRule type="duplicateValues" dxfId="416" priority="423"/>
    <cfRule type="duplicateValues" dxfId="415" priority="424"/>
    <cfRule type="duplicateValues" dxfId="414" priority="425"/>
    <cfRule type="duplicateValues" dxfId="413" priority="426"/>
    <cfRule type="duplicateValues" dxfId="412" priority="427" stopIfTrue="1"/>
  </conditionalFormatting>
  <conditionalFormatting sqref="Z160">
    <cfRule type="duplicateValues" dxfId="411" priority="412"/>
  </conditionalFormatting>
  <conditionalFormatting sqref="Z160">
    <cfRule type="duplicateValues" dxfId="410" priority="414" stopIfTrue="1"/>
  </conditionalFormatting>
  <conditionalFormatting sqref="AM160">
    <cfRule type="duplicateValues" dxfId="409" priority="428" stopIfTrue="1"/>
    <cfRule type="duplicateValues" dxfId="408" priority="429" stopIfTrue="1"/>
  </conditionalFormatting>
  <conditionalFormatting sqref="C161">
    <cfRule type="duplicateValues" dxfId="407" priority="396"/>
  </conditionalFormatting>
  <conditionalFormatting sqref="D161">
    <cfRule type="duplicateValues" dxfId="406" priority="397"/>
    <cfRule type="duplicateValues" dxfId="405" priority="398" stopIfTrue="1"/>
  </conditionalFormatting>
  <conditionalFormatting sqref="D161">
    <cfRule type="duplicateValues" dxfId="404" priority="391"/>
  </conditionalFormatting>
  <conditionalFormatting sqref="S161">
    <cfRule type="duplicateValues" dxfId="403" priority="393"/>
  </conditionalFormatting>
  <conditionalFormatting sqref="Z161">
    <cfRule type="duplicateValues" dxfId="402" priority="399"/>
    <cfRule type="duplicateValues" dxfId="401" priority="400"/>
    <cfRule type="duplicateValues" dxfId="400" priority="401" stopIfTrue="1"/>
    <cfRule type="duplicateValues" dxfId="399" priority="402"/>
    <cfRule type="duplicateValues" dxfId="398" priority="403"/>
    <cfRule type="duplicateValues" dxfId="397" priority="404"/>
    <cfRule type="duplicateValues" dxfId="396" priority="405"/>
    <cfRule type="duplicateValues" dxfId="395" priority="406"/>
    <cfRule type="duplicateValues" dxfId="394" priority="407"/>
    <cfRule type="duplicateValues" dxfId="393" priority="408" stopIfTrue="1"/>
  </conditionalFormatting>
  <conditionalFormatting sqref="Z161">
    <cfRule type="duplicateValues" dxfId="392" priority="394" stopIfTrue="1"/>
  </conditionalFormatting>
  <conditionalFormatting sqref="Z161">
    <cfRule type="duplicateValues" dxfId="391" priority="392"/>
  </conditionalFormatting>
  <conditionalFormatting sqref="AM161">
    <cfRule type="duplicateValues" dxfId="390" priority="409" stopIfTrue="1"/>
    <cfRule type="duplicateValues" dxfId="389" priority="410" stopIfTrue="1"/>
  </conditionalFormatting>
  <conditionalFormatting sqref="AM161">
    <cfRule type="duplicateValues" dxfId="388" priority="395" stopIfTrue="1"/>
  </conditionalFormatting>
  <conditionalFormatting sqref="C162:C163">
    <cfRule type="duplicateValues" dxfId="387" priority="376"/>
  </conditionalFormatting>
  <conditionalFormatting sqref="D162:D163">
    <cfRule type="duplicateValues" dxfId="386" priority="377"/>
    <cfRule type="duplicateValues" dxfId="385" priority="378" stopIfTrue="1"/>
  </conditionalFormatting>
  <conditionalFormatting sqref="D162:D163">
    <cfRule type="duplicateValues" dxfId="384" priority="372"/>
  </conditionalFormatting>
  <conditionalFormatting sqref="S162:S163">
    <cfRule type="duplicateValues" dxfId="383" priority="374"/>
  </conditionalFormatting>
  <conditionalFormatting sqref="Z162:Z163">
    <cfRule type="duplicateValues" dxfId="382" priority="379"/>
    <cfRule type="duplicateValues" dxfId="381" priority="380"/>
    <cfRule type="duplicateValues" dxfId="380" priority="381" stopIfTrue="1"/>
    <cfRule type="duplicateValues" dxfId="379" priority="382"/>
    <cfRule type="duplicateValues" dxfId="378" priority="383"/>
    <cfRule type="duplicateValues" dxfId="377" priority="384"/>
    <cfRule type="duplicateValues" dxfId="376" priority="385"/>
    <cfRule type="duplicateValues" dxfId="375" priority="386"/>
    <cfRule type="duplicateValues" dxfId="374" priority="387"/>
    <cfRule type="duplicateValues" dxfId="373" priority="388" stopIfTrue="1"/>
  </conditionalFormatting>
  <conditionalFormatting sqref="Z162:Z163">
    <cfRule type="duplicateValues" dxfId="372" priority="373"/>
  </conditionalFormatting>
  <conditionalFormatting sqref="Z162:Z163">
    <cfRule type="duplicateValues" dxfId="371" priority="375" stopIfTrue="1"/>
  </conditionalFormatting>
  <conditionalFormatting sqref="AM162:AM163">
    <cfRule type="duplicateValues" dxfId="370" priority="389" stopIfTrue="1"/>
    <cfRule type="duplicateValues" dxfId="369" priority="390" stopIfTrue="1"/>
  </conditionalFormatting>
  <conditionalFormatting sqref="Z42">
    <cfRule type="duplicateValues" dxfId="368" priority="370"/>
    <cfRule type="duplicateValues" dxfId="367" priority="371"/>
  </conditionalFormatting>
  <conditionalFormatting sqref="Z42">
    <cfRule type="duplicateValues" dxfId="366" priority="369"/>
  </conditionalFormatting>
  <conditionalFormatting sqref="D42">
    <cfRule type="duplicateValues" dxfId="365" priority="368"/>
  </conditionalFormatting>
  <conditionalFormatting sqref="D42">
    <cfRule type="duplicateValues" dxfId="364" priority="367"/>
  </conditionalFormatting>
  <conditionalFormatting sqref="D42">
    <cfRule type="duplicateValues" dxfId="363" priority="359"/>
    <cfRule type="duplicateValues" dxfId="362" priority="360"/>
    <cfRule type="duplicateValues" dxfId="361" priority="361"/>
    <cfRule type="duplicateValues" dxfId="360" priority="362"/>
    <cfRule type="duplicateValues" dxfId="359" priority="363"/>
    <cfRule type="duplicateValues" dxfId="358" priority="364"/>
    <cfRule type="duplicateValues" dxfId="357" priority="365"/>
    <cfRule type="duplicateValues" dxfId="356" priority="366"/>
  </conditionalFormatting>
  <conditionalFormatting sqref="C49">
    <cfRule type="duplicateValues" dxfId="355" priority="42"/>
  </conditionalFormatting>
  <conditionalFormatting sqref="C49">
    <cfRule type="duplicateValues" dxfId="354" priority="92" stopIfTrue="1"/>
  </conditionalFormatting>
  <conditionalFormatting sqref="C49">
    <cfRule type="duplicateValues" dxfId="353" priority="93"/>
  </conditionalFormatting>
  <conditionalFormatting sqref="C49">
    <cfRule type="duplicateValues" dxfId="352" priority="94" stopIfTrue="1"/>
  </conditionalFormatting>
  <conditionalFormatting sqref="C49">
    <cfRule type="duplicateValues" dxfId="351" priority="95"/>
  </conditionalFormatting>
  <conditionalFormatting sqref="C49">
    <cfRule type="duplicateValues" dxfId="350" priority="96"/>
  </conditionalFormatting>
  <conditionalFormatting sqref="C49">
    <cfRule type="duplicateValues" dxfId="349" priority="97"/>
  </conditionalFormatting>
  <conditionalFormatting sqref="C49">
    <cfRule type="duplicateValues" dxfId="348" priority="98"/>
  </conditionalFormatting>
  <conditionalFormatting sqref="D49">
    <cfRule type="duplicateValues" dxfId="347" priority="81"/>
    <cfRule type="duplicateValues" dxfId="346" priority="82"/>
    <cfRule type="duplicateValues" dxfId="345" priority="83"/>
    <cfRule type="duplicateValues" dxfId="344" priority="84"/>
    <cfRule type="duplicateValues" dxfId="343" priority="85"/>
    <cfRule type="duplicateValues" dxfId="342" priority="86"/>
    <cfRule type="duplicateValues" dxfId="341" priority="87"/>
    <cfRule type="duplicateValues" dxfId="340" priority="88"/>
    <cfRule type="duplicateValues" dxfId="339" priority="89"/>
    <cfRule type="duplicateValues" dxfId="338" priority="90"/>
    <cfRule type="duplicateValues" dxfId="337" priority="91" stopIfTrue="1"/>
  </conditionalFormatting>
  <conditionalFormatting sqref="D49">
    <cfRule type="duplicateValues" dxfId="336" priority="40"/>
    <cfRule type="duplicateValues" dxfId="335" priority="41" stopIfTrue="1"/>
    <cfRule type="duplicateValues" dxfId="334" priority="60"/>
    <cfRule type="duplicateValues" dxfId="333" priority="61"/>
    <cfRule type="duplicateValues" dxfId="332" priority="62" stopIfTrue="1"/>
    <cfRule type="duplicateValues" dxfId="331" priority="63"/>
    <cfRule type="duplicateValues" dxfId="330" priority="64"/>
    <cfRule type="duplicateValues" dxfId="329" priority="65"/>
    <cfRule type="duplicateValues" dxfId="328" priority="66"/>
    <cfRule type="duplicateValues" dxfId="327" priority="67"/>
    <cfRule type="duplicateValues" dxfId="326" priority="68"/>
    <cfRule type="duplicateValues" dxfId="325" priority="69"/>
    <cfRule type="duplicateValues" dxfId="324" priority="70"/>
  </conditionalFormatting>
  <conditionalFormatting sqref="D49">
    <cfRule type="duplicateValues" dxfId="323" priority="99" stopIfTrue="1"/>
  </conditionalFormatting>
  <conditionalFormatting sqref="D49">
    <cfRule type="duplicateValues" dxfId="322" priority="100"/>
  </conditionalFormatting>
  <conditionalFormatting sqref="D49">
    <cfRule type="duplicateValues" dxfId="321" priority="101" stopIfTrue="1"/>
  </conditionalFormatting>
  <conditionalFormatting sqref="D49">
    <cfRule type="duplicateValues" dxfId="320" priority="102"/>
  </conditionalFormatting>
  <conditionalFormatting sqref="D49">
    <cfRule type="duplicateValues" dxfId="319" priority="103"/>
  </conditionalFormatting>
  <conditionalFormatting sqref="D49">
    <cfRule type="duplicateValues" dxfId="318" priority="104"/>
  </conditionalFormatting>
  <conditionalFormatting sqref="D49">
    <cfRule type="duplicateValues" dxfId="317" priority="105" stopIfTrue="1"/>
  </conditionalFormatting>
  <conditionalFormatting sqref="D49">
    <cfRule type="duplicateValues" dxfId="316" priority="106" stopIfTrue="1"/>
  </conditionalFormatting>
  <conditionalFormatting sqref="D49">
    <cfRule type="duplicateValues" dxfId="315" priority="107"/>
  </conditionalFormatting>
  <conditionalFormatting sqref="D49">
    <cfRule type="duplicateValues" dxfId="314" priority="108" stopIfTrue="1"/>
  </conditionalFormatting>
  <conditionalFormatting sqref="D49">
    <cfRule type="duplicateValues" dxfId="313" priority="109"/>
  </conditionalFormatting>
  <conditionalFormatting sqref="D49">
    <cfRule type="duplicateValues" dxfId="312" priority="110"/>
  </conditionalFormatting>
  <conditionalFormatting sqref="D49">
    <cfRule type="duplicateValues" dxfId="311" priority="111" stopIfTrue="1"/>
  </conditionalFormatting>
  <conditionalFormatting sqref="D49">
    <cfRule type="duplicateValues" dxfId="310" priority="112"/>
  </conditionalFormatting>
  <conditionalFormatting sqref="D49">
    <cfRule type="duplicateValues" dxfId="309" priority="113"/>
  </conditionalFormatting>
  <conditionalFormatting sqref="D49">
    <cfRule type="duplicateValues" dxfId="308" priority="114"/>
  </conditionalFormatting>
  <conditionalFormatting sqref="D49">
    <cfRule type="duplicateValues" dxfId="307" priority="115"/>
  </conditionalFormatting>
  <conditionalFormatting sqref="D49">
    <cfRule type="duplicateValues" dxfId="306" priority="116"/>
  </conditionalFormatting>
  <conditionalFormatting sqref="D49">
    <cfRule type="duplicateValues" dxfId="305" priority="117"/>
    <cfRule type="duplicateValues" dxfId="304" priority="118"/>
    <cfRule type="duplicateValues" dxfId="303" priority="119"/>
  </conditionalFormatting>
  <conditionalFormatting sqref="D49">
    <cfRule type="duplicateValues" dxfId="302" priority="120"/>
  </conditionalFormatting>
  <conditionalFormatting sqref="D49">
    <cfRule type="duplicateValues" dxfId="301" priority="121"/>
  </conditionalFormatting>
  <conditionalFormatting sqref="D49">
    <cfRule type="duplicateValues" dxfId="300" priority="122"/>
  </conditionalFormatting>
  <conditionalFormatting sqref="D49">
    <cfRule type="duplicateValues" dxfId="299" priority="123"/>
  </conditionalFormatting>
  <conditionalFormatting sqref="D49">
    <cfRule type="duplicateValues" dxfId="298" priority="124" stopIfTrue="1"/>
  </conditionalFormatting>
  <conditionalFormatting sqref="D49">
    <cfRule type="duplicateValues" dxfId="297" priority="125" stopIfTrue="1"/>
  </conditionalFormatting>
  <conditionalFormatting sqref="D49">
    <cfRule type="duplicateValues" dxfId="296" priority="126"/>
  </conditionalFormatting>
  <conditionalFormatting sqref="D49">
    <cfRule type="duplicateValues" dxfId="295" priority="127"/>
    <cfRule type="duplicateValues" dxfId="294" priority="128"/>
    <cfRule type="duplicateValues" dxfId="293" priority="129"/>
    <cfRule type="duplicateValues" dxfId="292" priority="130"/>
    <cfRule type="duplicateValues" dxfId="291" priority="131"/>
    <cfRule type="duplicateValues" dxfId="290" priority="132"/>
    <cfRule type="duplicateValues" dxfId="289" priority="133"/>
    <cfRule type="duplicateValues" dxfId="288" priority="134"/>
    <cfRule type="duplicateValues" dxfId="287" priority="135"/>
    <cfRule type="duplicateValues" dxfId="286" priority="136"/>
    <cfRule type="duplicateValues" dxfId="285" priority="137"/>
    <cfRule type="duplicateValues" dxfId="284" priority="138"/>
  </conditionalFormatting>
  <conditionalFormatting sqref="D49">
    <cfRule type="duplicateValues" dxfId="283" priority="139" stopIfTrue="1"/>
  </conditionalFormatting>
  <conditionalFormatting sqref="D49">
    <cfRule type="duplicateValues" dxfId="282" priority="140"/>
  </conditionalFormatting>
  <conditionalFormatting sqref="D49">
    <cfRule type="duplicateValues" dxfId="281" priority="141"/>
  </conditionalFormatting>
  <conditionalFormatting sqref="D49">
    <cfRule type="duplicateValues" dxfId="280" priority="142"/>
  </conditionalFormatting>
  <conditionalFormatting sqref="D49">
    <cfRule type="duplicateValues" dxfId="279" priority="143"/>
  </conditionalFormatting>
  <conditionalFormatting sqref="D49">
    <cfRule type="duplicateValues" dxfId="278" priority="144"/>
  </conditionalFormatting>
  <conditionalFormatting sqref="D49">
    <cfRule type="duplicateValues" dxfId="277" priority="145"/>
  </conditionalFormatting>
  <conditionalFormatting sqref="D49">
    <cfRule type="duplicateValues" dxfId="276" priority="146"/>
    <cfRule type="duplicateValues" dxfId="275" priority="147"/>
    <cfRule type="duplicateValues" dxfId="274" priority="148"/>
    <cfRule type="duplicateValues" dxfId="273" priority="149"/>
    <cfRule type="duplicateValues" dxfId="272" priority="150"/>
    <cfRule type="duplicateValues" dxfId="271" priority="151"/>
    <cfRule type="duplicateValues" dxfId="270" priority="152"/>
    <cfRule type="duplicateValues" dxfId="269" priority="153"/>
    <cfRule type="duplicateValues" dxfId="268" priority="154"/>
    <cfRule type="duplicateValues" dxfId="267" priority="155"/>
    <cfRule type="duplicateValues" dxfId="266" priority="156"/>
    <cfRule type="duplicateValues" dxfId="265" priority="157"/>
    <cfRule type="duplicateValues" dxfId="264" priority="158"/>
    <cfRule type="duplicateValues" dxfId="263" priority="159"/>
  </conditionalFormatting>
  <conditionalFormatting sqref="D49">
    <cfRule type="duplicateValues" dxfId="262" priority="160" stopIfTrue="1"/>
  </conditionalFormatting>
  <conditionalFormatting sqref="D49">
    <cfRule type="duplicateValues" dxfId="261" priority="161"/>
  </conditionalFormatting>
  <conditionalFormatting sqref="D49">
    <cfRule type="duplicateValues" dxfId="260" priority="162"/>
  </conditionalFormatting>
  <conditionalFormatting sqref="D49">
    <cfRule type="duplicateValues" dxfId="259" priority="163"/>
  </conditionalFormatting>
  <conditionalFormatting sqref="D49">
    <cfRule type="duplicateValues" dxfId="258" priority="164" stopIfTrue="1"/>
  </conditionalFormatting>
  <conditionalFormatting sqref="D49">
    <cfRule type="duplicateValues" dxfId="257" priority="165" stopIfTrue="1"/>
  </conditionalFormatting>
  <conditionalFormatting sqref="D49">
    <cfRule type="duplicateValues" dxfId="256" priority="166"/>
  </conditionalFormatting>
  <conditionalFormatting sqref="D49">
    <cfRule type="duplicateValues" dxfId="255" priority="167"/>
  </conditionalFormatting>
  <conditionalFormatting sqref="D49">
    <cfRule type="duplicateValues" dxfId="254" priority="168"/>
    <cfRule type="duplicateValues" dxfId="253" priority="169" stopIfTrue="1"/>
  </conditionalFormatting>
  <conditionalFormatting sqref="D49">
    <cfRule type="duplicateValues" dxfId="252" priority="170"/>
  </conditionalFormatting>
  <conditionalFormatting sqref="D49">
    <cfRule type="duplicateValues" dxfId="251" priority="172"/>
  </conditionalFormatting>
  <conditionalFormatting sqref="D49">
    <cfRule type="duplicateValues" dxfId="250" priority="171"/>
  </conditionalFormatting>
  <conditionalFormatting sqref="D49">
    <cfRule type="duplicateValues" dxfId="249" priority="173"/>
    <cfRule type="duplicateValues" dxfId="248" priority="174"/>
  </conditionalFormatting>
  <conditionalFormatting sqref="D49">
    <cfRule type="duplicateValues" dxfId="247" priority="175"/>
    <cfRule type="duplicateValues" dxfId="246" priority="176" stopIfTrue="1"/>
    <cfRule type="duplicateValues" dxfId="245" priority="177"/>
  </conditionalFormatting>
  <conditionalFormatting sqref="D49">
    <cfRule type="duplicateValues" dxfId="244" priority="178"/>
  </conditionalFormatting>
  <conditionalFormatting sqref="D49">
    <cfRule type="duplicateValues" dxfId="243" priority="179"/>
  </conditionalFormatting>
  <conditionalFormatting sqref="D49">
    <cfRule type="duplicateValues" dxfId="242" priority="180"/>
  </conditionalFormatting>
  <conditionalFormatting sqref="D49">
    <cfRule type="duplicateValues" dxfId="241" priority="181"/>
  </conditionalFormatting>
  <conditionalFormatting sqref="D49">
    <cfRule type="duplicateValues" dxfId="240" priority="182"/>
  </conditionalFormatting>
  <conditionalFormatting sqref="D49">
    <cfRule type="duplicateValues" dxfId="239" priority="183"/>
    <cfRule type="duplicateValues" dxfId="238" priority="184" stopIfTrue="1"/>
    <cfRule type="duplicateValues" dxfId="237" priority="185" stopIfTrue="1"/>
    <cfRule type="duplicateValues" dxfId="236" priority="186" stopIfTrue="1"/>
    <cfRule type="duplicateValues" dxfId="235" priority="187" stopIfTrue="1"/>
    <cfRule type="duplicateValues" dxfId="234" priority="188" stopIfTrue="1"/>
    <cfRule type="duplicateValues" dxfId="233" priority="189"/>
  </conditionalFormatting>
  <conditionalFormatting sqref="S49">
    <cfRule type="duplicateValues" dxfId="232" priority="79"/>
    <cfRule type="duplicateValues" dxfId="231" priority="80"/>
  </conditionalFormatting>
  <conditionalFormatting sqref="S49">
    <cfRule type="duplicateValues" dxfId="230" priority="58"/>
    <cfRule type="duplicateValues" dxfId="229" priority="59"/>
  </conditionalFormatting>
  <conditionalFormatting sqref="S49">
    <cfRule type="duplicateValues" dxfId="228" priority="190" stopIfTrue="1"/>
  </conditionalFormatting>
  <conditionalFormatting sqref="S49">
    <cfRule type="duplicateValues" dxfId="227" priority="191" stopIfTrue="1"/>
  </conditionalFormatting>
  <conditionalFormatting sqref="S49">
    <cfRule type="duplicateValues" dxfId="226" priority="192"/>
  </conditionalFormatting>
  <conditionalFormatting sqref="S49">
    <cfRule type="duplicateValues" dxfId="225" priority="193"/>
  </conditionalFormatting>
  <conditionalFormatting sqref="S49">
    <cfRule type="duplicateValues" dxfId="224" priority="194" stopIfTrue="1"/>
  </conditionalFormatting>
  <conditionalFormatting sqref="S49">
    <cfRule type="duplicateValues" dxfId="223" priority="195" stopIfTrue="1"/>
  </conditionalFormatting>
  <conditionalFormatting sqref="S49">
    <cfRule type="duplicateValues" dxfId="222" priority="196"/>
  </conditionalFormatting>
  <conditionalFormatting sqref="S49">
    <cfRule type="duplicateValues" dxfId="221" priority="197"/>
  </conditionalFormatting>
  <conditionalFormatting sqref="S49">
    <cfRule type="duplicateValues" dxfId="220" priority="198"/>
  </conditionalFormatting>
  <conditionalFormatting sqref="S49">
    <cfRule type="duplicateValues" dxfId="219" priority="199"/>
  </conditionalFormatting>
  <conditionalFormatting sqref="S49">
    <cfRule type="duplicateValues" dxfId="218" priority="200"/>
  </conditionalFormatting>
  <conditionalFormatting sqref="X49">
    <cfRule type="duplicateValues" dxfId="217" priority="78" stopIfTrue="1"/>
  </conditionalFormatting>
  <conditionalFormatting sqref="X49">
    <cfRule type="duplicateValues" dxfId="216" priority="57" stopIfTrue="1"/>
  </conditionalFormatting>
  <conditionalFormatting sqref="X49">
    <cfRule type="duplicateValues" dxfId="215" priority="201" stopIfTrue="1"/>
  </conditionalFormatting>
  <conditionalFormatting sqref="X49">
    <cfRule type="duplicateValues" dxfId="214" priority="202" stopIfTrue="1"/>
  </conditionalFormatting>
  <conditionalFormatting sqref="X49">
    <cfRule type="duplicateValues" dxfId="213" priority="203" stopIfTrue="1"/>
  </conditionalFormatting>
  <conditionalFormatting sqref="X49">
    <cfRule type="duplicateValues" dxfId="212" priority="204" stopIfTrue="1"/>
  </conditionalFormatting>
  <conditionalFormatting sqref="X49">
    <cfRule type="duplicateValues" dxfId="211" priority="205" stopIfTrue="1"/>
  </conditionalFormatting>
  <conditionalFormatting sqref="X49">
    <cfRule type="duplicateValues" dxfId="210" priority="206" stopIfTrue="1"/>
  </conditionalFormatting>
  <conditionalFormatting sqref="X49">
    <cfRule type="duplicateValues" dxfId="209" priority="207" stopIfTrue="1"/>
  </conditionalFormatting>
  <conditionalFormatting sqref="X49">
    <cfRule type="duplicateValues" dxfId="208" priority="208" stopIfTrue="1"/>
  </conditionalFormatting>
  <conditionalFormatting sqref="X49">
    <cfRule type="duplicateValues" dxfId="207" priority="209" stopIfTrue="1"/>
  </conditionalFormatting>
  <conditionalFormatting sqref="X49">
    <cfRule type="duplicateValues" dxfId="206" priority="210" stopIfTrue="1"/>
  </conditionalFormatting>
  <conditionalFormatting sqref="Z49">
    <cfRule type="duplicateValues" dxfId="205" priority="72"/>
    <cfRule type="duplicateValues" dxfId="204" priority="73"/>
    <cfRule type="duplicateValues" dxfId="203" priority="74"/>
    <cfRule type="duplicateValues" dxfId="202" priority="75"/>
    <cfRule type="duplicateValues" dxfId="201" priority="76"/>
    <cfRule type="duplicateValues" dxfId="200" priority="77" stopIfTrue="1"/>
  </conditionalFormatting>
  <conditionalFormatting sqref="Z49">
    <cfRule type="duplicateValues" dxfId="199" priority="35"/>
    <cfRule type="duplicateValues" dxfId="198" priority="36"/>
    <cfRule type="duplicateValues" dxfId="197" priority="37" stopIfTrue="1"/>
    <cfRule type="duplicateValues" dxfId="196" priority="38"/>
    <cfRule type="duplicateValues" dxfId="195" priority="39"/>
    <cfRule type="duplicateValues" dxfId="194" priority="44"/>
    <cfRule type="duplicateValues" dxfId="193" priority="45"/>
    <cfRule type="duplicateValues" dxfId="192" priority="46"/>
    <cfRule type="duplicateValues" dxfId="191" priority="47"/>
    <cfRule type="duplicateValues" dxfId="190" priority="48" stopIfTrue="1"/>
    <cfRule type="duplicateValues" dxfId="189" priority="50" stopIfTrue="1"/>
    <cfRule type="duplicateValues" dxfId="188" priority="51"/>
    <cfRule type="duplicateValues" dxfId="187" priority="52"/>
    <cfRule type="duplicateValues" dxfId="186" priority="53" stopIfTrue="1"/>
    <cfRule type="duplicateValues" dxfId="185" priority="54"/>
    <cfRule type="duplicateValues" dxfId="184" priority="55"/>
    <cfRule type="duplicateValues" dxfId="183" priority="56"/>
    <cfRule type="duplicateValues" dxfId="182" priority="71" stopIfTrue="1"/>
  </conditionalFormatting>
  <conditionalFormatting sqref="Z49">
    <cfRule type="duplicateValues" dxfId="181" priority="211" stopIfTrue="1"/>
  </conditionalFormatting>
  <conditionalFormatting sqref="Z49">
    <cfRule type="duplicateValues" dxfId="180" priority="212" stopIfTrue="1"/>
  </conditionalFormatting>
  <conditionalFormatting sqref="Z49">
    <cfRule type="duplicateValues" dxfId="179" priority="213" stopIfTrue="1"/>
  </conditionalFormatting>
  <conditionalFormatting sqref="Z49">
    <cfRule type="duplicateValues" dxfId="178" priority="214" stopIfTrue="1"/>
  </conditionalFormatting>
  <conditionalFormatting sqref="Z49">
    <cfRule type="duplicateValues" dxfId="177" priority="215" stopIfTrue="1"/>
  </conditionalFormatting>
  <conditionalFormatting sqref="Z49">
    <cfRule type="duplicateValues" dxfId="176" priority="216" stopIfTrue="1"/>
  </conditionalFormatting>
  <conditionalFormatting sqref="Z49">
    <cfRule type="duplicateValues" dxfId="175" priority="217" stopIfTrue="1"/>
  </conditionalFormatting>
  <conditionalFormatting sqref="Z49">
    <cfRule type="duplicateValues" dxfId="174" priority="218" stopIfTrue="1"/>
  </conditionalFormatting>
  <conditionalFormatting sqref="Z49">
    <cfRule type="duplicateValues" dxfId="173" priority="219"/>
  </conditionalFormatting>
  <conditionalFormatting sqref="Z49">
    <cfRule type="duplicateValues" dxfId="172" priority="220" stopIfTrue="1"/>
  </conditionalFormatting>
  <conditionalFormatting sqref="Z49">
    <cfRule type="duplicateValues" dxfId="171" priority="221"/>
    <cfRule type="duplicateValues" dxfId="170" priority="222"/>
    <cfRule type="duplicateValues" dxfId="169" priority="223"/>
  </conditionalFormatting>
  <conditionalFormatting sqref="Z49">
    <cfRule type="duplicateValues" dxfId="168" priority="224"/>
    <cfRule type="duplicateValues" dxfId="167" priority="225"/>
    <cfRule type="duplicateValues" dxfId="166" priority="226" stopIfTrue="1"/>
  </conditionalFormatting>
  <conditionalFormatting sqref="Z49">
    <cfRule type="duplicateValues" dxfId="165" priority="227" stopIfTrue="1"/>
  </conditionalFormatting>
  <conditionalFormatting sqref="Z49">
    <cfRule type="duplicateValues" dxfId="164" priority="228"/>
    <cfRule type="duplicateValues" dxfId="163" priority="229"/>
  </conditionalFormatting>
  <conditionalFormatting sqref="Z49">
    <cfRule type="duplicateValues" dxfId="162" priority="230" stopIfTrue="1"/>
    <cfRule type="duplicateValues" dxfId="161" priority="231"/>
    <cfRule type="duplicateValues" dxfId="160" priority="232"/>
  </conditionalFormatting>
  <conditionalFormatting sqref="Z49">
    <cfRule type="duplicateValues" dxfId="159" priority="233"/>
  </conditionalFormatting>
  <conditionalFormatting sqref="Z49">
    <cfRule type="duplicateValues" dxfId="158" priority="234"/>
    <cfRule type="duplicateValues" dxfId="157" priority="235"/>
    <cfRule type="duplicateValues" dxfId="156" priority="236" stopIfTrue="1"/>
  </conditionalFormatting>
  <conditionalFormatting sqref="Z49">
    <cfRule type="duplicateValues" dxfId="155" priority="237"/>
  </conditionalFormatting>
  <conditionalFormatting sqref="Z49">
    <cfRule type="duplicateValues" dxfId="154" priority="238"/>
  </conditionalFormatting>
  <conditionalFormatting sqref="Z49">
    <cfRule type="duplicateValues" dxfId="153" priority="239"/>
    <cfRule type="duplicateValues" dxfId="152" priority="240"/>
  </conditionalFormatting>
  <conditionalFormatting sqref="Z49">
    <cfRule type="duplicateValues" dxfId="151" priority="241"/>
    <cfRule type="duplicateValues" dxfId="150" priority="242"/>
  </conditionalFormatting>
  <conditionalFormatting sqref="Z49">
    <cfRule type="duplicateValues" dxfId="149" priority="243"/>
    <cfRule type="duplicateValues" dxfId="148" priority="244"/>
  </conditionalFormatting>
  <conditionalFormatting sqref="Z49">
    <cfRule type="duplicateValues" dxfId="147" priority="245" stopIfTrue="1"/>
    <cfRule type="duplicateValues" dxfId="146" priority="246"/>
    <cfRule type="duplicateValues" dxfId="145" priority="247"/>
  </conditionalFormatting>
  <conditionalFormatting sqref="Z49">
    <cfRule type="duplicateValues" dxfId="144" priority="248"/>
  </conditionalFormatting>
  <conditionalFormatting sqref="Z49">
    <cfRule type="duplicateValues" dxfId="143" priority="249"/>
    <cfRule type="duplicateValues" dxfId="142" priority="250"/>
    <cfRule type="duplicateValues" dxfId="141" priority="251" stopIfTrue="1"/>
  </conditionalFormatting>
  <conditionalFormatting sqref="Z49">
    <cfRule type="duplicateValues" dxfId="140" priority="252"/>
    <cfRule type="duplicateValues" dxfId="139" priority="253"/>
  </conditionalFormatting>
  <conditionalFormatting sqref="Z49">
    <cfRule type="duplicateValues" dxfId="138" priority="254"/>
    <cfRule type="duplicateValues" dxfId="137" priority="255"/>
  </conditionalFormatting>
  <conditionalFormatting sqref="Z49">
    <cfRule type="duplicateValues" dxfId="136" priority="256"/>
  </conditionalFormatting>
  <conditionalFormatting sqref="Z49">
    <cfRule type="duplicateValues" dxfId="135" priority="257"/>
    <cfRule type="duplicateValues" dxfId="134" priority="258"/>
  </conditionalFormatting>
  <conditionalFormatting sqref="Z49">
    <cfRule type="duplicateValues" dxfId="133" priority="259"/>
  </conditionalFormatting>
  <conditionalFormatting sqref="Z49">
    <cfRule type="duplicateValues" dxfId="132" priority="260"/>
    <cfRule type="duplicateValues" dxfId="131" priority="261"/>
  </conditionalFormatting>
  <conditionalFormatting sqref="Z49">
    <cfRule type="duplicateValues" dxfId="130" priority="262" stopIfTrue="1"/>
    <cfRule type="duplicateValues" dxfId="129" priority="263"/>
    <cfRule type="duplicateValues" dxfId="128" priority="264"/>
  </conditionalFormatting>
  <conditionalFormatting sqref="Z49">
    <cfRule type="duplicateValues" dxfId="127" priority="265"/>
    <cfRule type="duplicateValues" dxfId="126" priority="266"/>
  </conditionalFormatting>
  <conditionalFormatting sqref="Z49">
    <cfRule type="duplicateValues" dxfId="125" priority="267"/>
    <cfRule type="duplicateValues" dxfId="124" priority="268"/>
    <cfRule type="duplicateValues" dxfId="123" priority="269" stopIfTrue="1"/>
  </conditionalFormatting>
  <conditionalFormatting sqref="Z49">
    <cfRule type="duplicateValues" dxfId="122" priority="270"/>
    <cfRule type="duplicateValues" dxfId="121" priority="271"/>
  </conditionalFormatting>
  <conditionalFormatting sqref="Z49">
    <cfRule type="duplicateValues" dxfId="120" priority="272"/>
    <cfRule type="duplicateValues" dxfId="119" priority="273"/>
  </conditionalFormatting>
  <conditionalFormatting sqref="Z49">
    <cfRule type="duplicateValues" dxfId="118" priority="274"/>
    <cfRule type="duplicateValues" dxfId="117" priority="275"/>
    <cfRule type="duplicateValues" dxfId="116" priority="276" stopIfTrue="1"/>
  </conditionalFormatting>
  <conditionalFormatting sqref="Z49">
    <cfRule type="duplicateValues" dxfId="115" priority="277" stopIfTrue="1"/>
  </conditionalFormatting>
  <conditionalFormatting sqref="Z49">
    <cfRule type="duplicateValues" dxfId="114" priority="278"/>
  </conditionalFormatting>
  <conditionalFormatting sqref="Z49">
    <cfRule type="duplicateValues" dxfId="113" priority="279"/>
    <cfRule type="duplicateValues" dxfId="112" priority="280"/>
  </conditionalFormatting>
  <conditionalFormatting sqref="Z49">
    <cfRule type="duplicateValues" dxfId="111" priority="281"/>
    <cfRule type="duplicateValues" dxfId="110" priority="282"/>
    <cfRule type="duplicateValues" dxfId="109" priority="283"/>
    <cfRule type="duplicateValues" dxfId="108" priority="284"/>
    <cfRule type="duplicateValues" dxfId="107" priority="285" stopIfTrue="1"/>
  </conditionalFormatting>
  <conditionalFormatting sqref="Z49">
    <cfRule type="duplicateValues" dxfId="106" priority="286"/>
    <cfRule type="duplicateValues" dxfId="105" priority="287"/>
    <cfRule type="duplicateValues" dxfId="104" priority="288"/>
    <cfRule type="duplicateValues" dxfId="103" priority="289"/>
  </conditionalFormatting>
  <conditionalFormatting sqref="Z49">
    <cfRule type="duplicateValues" dxfId="102" priority="292"/>
    <cfRule type="duplicateValues" dxfId="101" priority="293"/>
  </conditionalFormatting>
  <conditionalFormatting sqref="Z49">
    <cfRule type="duplicateValues" dxfId="100" priority="290"/>
    <cfRule type="duplicateValues" dxfId="99" priority="291"/>
  </conditionalFormatting>
  <conditionalFormatting sqref="Z49">
    <cfRule type="duplicateValues" dxfId="98" priority="294"/>
    <cfRule type="duplicateValues" dxfId="97" priority="295"/>
    <cfRule type="duplicateValues" dxfId="96" priority="296"/>
    <cfRule type="duplicateValues" dxfId="95" priority="297"/>
  </conditionalFormatting>
  <conditionalFormatting sqref="Z49">
    <cfRule type="duplicateValues" dxfId="94" priority="298"/>
    <cfRule type="duplicateValues" dxfId="93" priority="299"/>
    <cfRule type="duplicateValues" dxfId="92" priority="300" stopIfTrue="1"/>
    <cfRule type="duplicateValues" dxfId="91" priority="301" stopIfTrue="1"/>
    <cfRule type="duplicateValues" dxfId="90" priority="302"/>
  </conditionalFormatting>
  <conditionalFormatting sqref="Z49">
    <cfRule type="duplicateValues" dxfId="89" priority="303" stopIfTrue="1"/>
    <cfRule type="duplicateValues" dxfId="88" priority="304"/>
    <cfRule type="duplicateValues" dxfId="87" priority="305"/>
  </conditionalFormatting>
  <conditionalFormatting sqref="Z49">
    <cfRule type="duplicateValues" dxfId="86" priority="306"/>
    <cfRule type="duplicateValues" dxfId="85" priority="307"/>
    <cfRule type="duplicateValues" dxfId="84" priority="308"/>
    <cfRule type="duplicateValues" dxfId="83" priority="309"/>
  </conditionalFormatting>
  <conditionalFormatting sqref="Z49">
    <cfRule type="duplicateValues" dxfId="82" priority="310" stopIfTrue="1"/>
    <cfRule type="duplicateValues" dxfId="81" priority="311"/>
    <cfRule type="duplicateValues" dxfId="80" priority="312"/>
    <cfRule type="duplicateValues" dxfId="79" priority="313"/>
    <cfRule type="duplicateValues" dxfId="78" priority="314"/>
  </conditionalFormatting>
  <conditionalFormatting sqref="Z49">
    <cfRule type="duplicateValues" dxfId="77" priority="315"/>
    <cfRule type="duplicateValues" dxfId="76" priority="316"/>
  </conditionalFormatting>
  <conditionalFormatting sqref="Z49">
    <cfRule type="duplicateValues" dxfId="75" priority="317"/>
    <cfRule type="duplicateValues" dxfId="74" priority="318"/>
    <cfRule type="duplicateValues" dxfId="73" priority="319"/>
    <cfRule type="duplicateValues" dxfId="72" priority="320"/>
  </conditionalFormatting>
  <conditionalFormatting sqref="Z49">
    <cfRule type="duplicateValues" dxfId="71" priority="321"/>
    <cfRule type="duplicateValues" dxfId="70" priority="322"/>
    <cfRule type="duplicateValues" dxfId="69" priority="323"/>
    <cfRule type="duplicateValues" dxfId="68" priority="324"/>
  </conditionalFormatting>
  <conditionalFormatting sqref="Z49">
    <cfRule type="duplicateValues" dxfId="67" priority="325"/>
    <cfRule type="duplicateValues" dxfId="66" priority="326"/>
    <cfRule type="duplicateValues" dxfId="65" priority="327"/>
    <cfRule type="duplicateValues" dxfId="64" priority="328"/>
  </conditionalFormatting>
  <conditionalFormatting sqref="Z49">
    <cfRule type="duplicateValues" dxfId="63" priority="329" stopIfTrue="1"/>
    <cfRule type="duplicateValues" dxfId="62" priority="330"/>
    <cfRule type="duplicateValues" dxfId="61" priority="331" stopIfTrue="1"/>
    <cfRule type="duplicateValues" dxfId="60" priority="332" stopIfTrue="1"/>
    <cfRule type="duplicateValues" dxfId="59" priority="333" stopIfTrue="1"/>
    <cfRule type="duplicateValues" dxfId="58" priority="334" stopIfTrue="1"/>
    <cfRule type="duplicateValues" dxfId="57" priority="335" stopIfTrue="1"/>
    <cfRule type="duplicateValues" dxfId="56" priority="336" stopIfTrue="1"/>
    <cfRule type="duplicateValues" dxfId="55" priority="337"/>
  </conditionalFormatting>
  <conditionalFormatting sqref="AI49">
    <cfRule type="duplicateValues" dxfId="54" priority="338" stopIfTrue="1"/>
  </conditionalFormatting>
  <conditionalFormatting sqref="AI49">
    <cfRule type="duplicateValues" dxfId="53" priority="339" stopIfTrue="1"/>
  </conditionalFormatting>
  <conditionalFormatting sqref="AI49">
    <cfRule type="duplicateValues" dxfId="52" priority="340" stopIfTrue="1"/>
  </conditionalFormatting>
  <conditionalFormatting sqref="AI49">
    <cfRule type="duplicateValues" dxfId="51" priority="341" stopIfTrue="1"/>
  </conditionalFormatting>
  <conditionalFormatting sqref="AI49">
    <cfRule type="duplicateValues" dxfId="50" priority="342" stopIfTrue="1"/>
  </conditionalFormatting>
  <conditionalFormatting sqref="AI49">
    <cfRule type="duplicateValues" dxfId="49" priority="343" stopIfTrue="1"/>
  </conditionalFormatting>
  <conditionalFormatting sqref="AJ49">
    <cfRule type="duplicateValues" dxfId="48" priority="344" stopIfTrue="1"/>
  </conditionalFormatting>
  <conditionalFormatting sqref="AJ49">
    <cfRule type="duplicateValues" dxfId="47" priority="345" stopIfTrue="1"/>
  </conditionalFormatting>
  <conditionalFormatting sqref="AM49">
    <cfRule type="duplicateValues" dxfId="46" priority="34" stopIfTrue="1"/>
    <cfRule type="duplicateValues" dxfId="45" priority="43" stopIfTrue="1"/>
    <cfRule type="duplicateValues" dxfId="44" priority="49" stopIfTrue="1"/>
  </conditionalFormatting>
  <conditionalFormatting sqref="AM49">
    <cfRule type="duplicateValues" dxfId="43" priority="346" stopIfTrue="1"/>
  </conditionalFormatting>
  <conditionalFormatting sqref="AM49">
    <cfRule type="duplicateValues" dxfId="42" priority="347" stopIfTrue="1"/>
  </conditionalFormatting>
  <conditionalFormatting sqref="AM49">
    <cfRule type="duplicateValues" dxfId="41" priority="348" stopIfTrue="1"/>
  </conditionalFormatting>
  <conditionalFormatting sqref="AM49">
    <cfRule type="duplicateValues" dxfId="40" priority="349" stopIfTrue="1"/>
  </conditionalFormatting>
  <conditionalFormatting sqref="AM49">
    <cfRule type="duplicateValues" dxfId="39" priority="350" stopIfTrue="1"/>
  </conditionalFormatting>
  <conditionalFormatting sqref="AM49">
    <cfRule type="duplicateValues" dxfId="38" priority="351" stopIfTrue="1"/>
  </conditionalFormatting>
  <conditionalFormatting sqref="AM49">
    <cfRule type="duplicateValues" dxfId="37" priority="352" stopIfTrue="1"/>
  </conditionalFormatting>
  <conditionalFormatting sqref="AM49">
    <cfRule type="duplicateValues" dxfId="36" priority="353" stopIfTrue="1"/>
  </conditionalFormatting>
  <conditionalFormatting sqref="AM49">
    <cfRule type="duplicateValues" dxfId="35" priority="354" stopIfTrue="1"/>
  </conditionalFormatting>
  <conditionalFormatting sqref="AM49">
    <cfRule type="duplicateValues" dxfId="34" priority="355" stopIfTrue="1"/>
  </conditionalFormatting>
  <conditionalFormatting sqref="AM49">
    <cfRule type="duplicateValues" dxfId="33" priority="356" stopIfTrue="1"/>
  </conditionalFormatting>
  <conditionalFormatting sqref="AM49">
    <cfRule type="duplicateValues" dxfId="32" priority="357" stopIfTrue="1"/>
  </conditionalFormatting>
  <conditionalFormatting sqref="AM49">
    <cfRule type="duplicateValues" dxfId="31" priority="358" stopIfTrue="1"/>
  </conditionalFormatting>
  <conditionalFormatting sqref="C159">
    <cfRule type="duplicateValues" dxfId="30" priority="31"/>
  </conditionalFormatting>
  <conditionalFormatting sqref="D159">
    <cfRule type="duplicateValues" dxfId="29" priority="32"/>
    <cfRule type="duplicateValues" dxfId="28" priority="33" stopIfTrue="1"/>
  </conditionalFormatting>
  <conditionalFormatting sqref="D159">
    <cfRule type="duplicateValues" dxfId="27" priority="30"/>
  </conditionalFormatting>
  <conditionalFormatting sqref="S62">
    <cfRule type="duplicateValues" priority="29"/>
  </conditionalFormatting>
  <conditionalFormatting sqref="S62">
    <cfRule type="duplicateValues" priority="28"/>
  </conditionalFormatting>
  <conditionalFormatting sqref="Z13">
    <cfRule type="duplicateValues" dxfId="26" priority="25"/>
    <cfRule type="duplicateValues" dxfId="25" priority="26"/>
  </conditionalFormatting>
  <conditionalFormatting sqref="Z13">
    <cfRule type="duplicateValues" dxfId="24" priority="27"/>
  </conditionalFormatting>
  <conditionalFormatting sqref="D13">
    <cfRule type="duplicateValues" dxfId="23" priority="24"/>
  </conditionalFormatting>
  <conditionalFormatting sqref="D13">
    <cfRule type="duplicateValues" dxfId="22" priority="23"/>
  </conditionalFormatting>
  <conditionalFormatting sqref="D13">
    <cfRule type="duplicateValues" dxfId="21" priority="22"/>
  </conditionalFormatting>
  <conditionalFormatting sqref="D13">
    <cfRule type="duplicateValues" dxfId="20" priority="20"/>
    <cfRule type="duplicateValues" dxfId="19" priority="21"/>
  </conditionalFormatting>
  <conditionalFormatting sqref="D13">
    <cfRule type="duplicateValues" dxfId="18" priority="19"/>
  </conditionalFormatting>
  <conditionalFormatting sqref="D13">
    <cfRule type="duplicateValues" dxfId="17" priority="18"/>
  </conditionalFormatting>
  <conditionalFormatting sqref="C7:C9">
    <cfRule type="duplicateValues" dxfId="16" priority="4"/>
  </conditionalFormatting>
  <conditionalFormatting sqref="C7:C9">
    <cfRule type="duplicateValues" dxfId="15" priority="11"/>
  </conditionalFormatting>
  <conditionalFormatting sqref="Z7:Z9">
    <cfRule type="duplicateValues" dxfId="14" priority="12"/>
    <cfRule type="duplicateValues" dxfId="13" priority="13"/>
    <cfRule type="duplicateValues" dxfId="12" priority="14" stopIfTrue="1"/>
    <cfRule type="duplicateValues" dxfId="11" priority="15"/>
    <cfRule type="duplicateValues" dxfId="10" priority="16"/>
  </conditionalFormatting>
  <conditionalFormatting sqref="Z7:Z9">
    <cfRule type="duplicateValues" dxfId="9" priority="9"/>
  </conditionalFormatting>
  <conditionalFormatting sqref="Z7:Z9">
    <cfRule type="duplicateValues" dxfId="8" priority="7"/>
    <cfRule type="duplicateValues" dxfId="7" priority="8"/>
  </conditionalFormatting>
  <conditionalFormatting sqref="Z7:Z9">
    <cfRule type="duplicateValues" dxfId="6" priority="5"/>
    <cfRule type="duplicateValues" dxfId="5" priority="6"/>
  </conditionalFormatting>
  <conditionalFormatting sqref="AM7:AM9">
    <cfRule type="duplicateValues" dxfId="4" priority="17" stopIfTrue="1"/>
  </conditionalFormatting>
  <conditionalFormatting sqref="AM7:AM9">
    <cfRule type="duplicateValues" dxfId="3" priority="10" stopIfTrue="1"/>
  </conditionalFormatting>
  <conditionalFormatting sqref="D7:D9">
    <cfRule type="duplicateValues" dxfId="2" priority="3"/>
  </conditionalFormatting>
  <conditionalFormatting sqref="X45">
    <cfRule type="duplicateValues" dxfId="1" priority="2" stopIfTrue="1"/>
  </conditionalFormatting>
  <conditionalFormatting sqref="D4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2026-10-01T13:28:28Z</dcterms:modified>
</cp:coreProperties>
</file>